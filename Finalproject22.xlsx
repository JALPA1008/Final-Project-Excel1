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8_{E8328077-054C-44A7-8FB2-7694515EF37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shboard" sheetId="4" r:id="rId1"/>
    <sheet name="Raw Data" sheetId="1" r:id="rId2"/>
    <sheet name="Analysis" sheetId="2" r:id="rId3"/>
    <sheet name="Visualizations" sheetId="3" r:id="rId4"/>
  </sheets>
  <definedNames>
    <definedName name="_xlnm._FilterDatabase" localSheetId="1" hidden="1">'Raw Data'!$A$1:$R$251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4" l="1"/>
  <c r="G4" i="4"/>
  <c r="D4" i="4"/>
  <c r="A4" i="4"/>
  <c r="B16" i="3"/>
  <c r="B15" i="3"/>
  <c r="B14" i="3"/>
  <c r="H13" i="3"/>
  <c r="B13" i="3"/>
  <c r="H12" i="3"/>
  <c r="B12" i="3"/>
  <c r="H11" i="3"/>
  <c r="B11" i="3"/>
  <c r="H10" i="3"/>
  <c r="B10" i="3"/>
  <c r="H9" i="3"/>
  <c r="B9" i="3"/>
  <c r="H8" i="3"/>
  <c r="B8" i="3"/>
  <c r="H7" i="3"/>
  <c r="B7" i="3"/>
  <c r="H6" i="3"/>
  <c r="E6" i="3"/>
  <c r="B6" i="3"/>
  <c r="H5" i="3"/>
  <c r="E5" i="3"/>
  <c r="B5" i="3"/>
  <c r="H4" i="3"/>
  <c r="E4" i="3"/>
  <c r="B4" i="3"/>
  <c r="C252" i="2"/>
  <c r="B252" i="2"/>
  <c r="C251" i="2"/>
  <c r="B251" i="2"/>
  <c r="C250" i="2"/>
  <c r="B250" i="2"/>
  <c r="C249" i="2"/>
  <c r="B249" i="2"/>
  <c r="C248" i="2"/>
  <c r="B248" i="2"/>
  <c r="C247" i="2"/>
  <c r="B247" i="2"/>
  <c r="C246" i="2"/>
  <c r="B246" i="2"/>
  <c r="C245" i="2"/>
  <c r="B245" i="2"/>
  <c r="C244" i="2"/>
  <c r="B244" i="2"/>
  <c r="C243" i="2"/>
  <c r="B243" i="2"/>
  <c r="C242" i="2"/>
  <c r="B242" i="2"/>
  <c r="C241" i="2"/>
  <c r="B241" i="2"/>
  <c r="C240" i="2"/>
  <c r="B240" i="2"/>
  <c r="C239" i="2"/>
  <c r="B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B231" i="2"/>
  <c r="C230" i="2"/>
  <c r="B230" i="2"/>
  <c r="C229" i="2"/>
  <c r="B229" i="2"/>
  <c r="C228" i="2"/>
  <c r="B228" i="2"/>
  <c r="C227" i="2"/>
  <c r="B227" i="2"/>
  <c r="C226" i="2"/>
  <c r="B226" i="2"/>
  <c r="C225" i="2"/>
  <c r="B225" i="2"/>
  <c r="C224" i="2"/>
  <c r="B224" i="2"/>
  <c r="C223" i="2"/>
  <c r="B223" i="2"/>
  <c r="C222" i="2"/>
  <c r="B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B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F143" i="2"/>
  <c r="E143" i="2" s="1"/>
  <c r="F142" i="2"/>
  <c r="E142" i="2" s="1"/>
  <c r="F141" i="2"/>
  <c r="E141" i="2" s="1"/>
  <c r="F140" i="2"/>
  <c r="E140" i="2" s="1"/>
  <c r="F139" i="2"/>
  <c r="E139" i="2" s="1"/>
  <c r="F138" i="2"/>
  <c r="E138" i="2" s="1"/>
  <c r="F137" i="2"/>
  <c r="E137" i="2" s="1"/>
  <c r="F136" i="2"/>
  <c r="E136" i="2" s="1"/>
  <c r="F135" i="2"/>
  <c r="E135" i="2" s="1"/>
  <c r="F134" i="2"/>
  <c r="E134" i="2" s="1"/>
  <c r="F133" i="2"/>
  <c r="E133" i="2" s="1"/>
  <c r="F132" i="2"/>
  <c r="E132" i="2" s="1"/>
  <c r="F131" i="2"/>
  <c r="E131" i="2" s="1"/>
  <c r="F130" i="2"/>
  <c r="E130" i="2" s="1"/>
  <c r="F129" i="2"/>
  <c r="E129" i="2" s="1"/>
  <c r="F128" i="2"/>
  <c r="E128" i="2" s="1"/>
  <c r="F127" i="2"/>
  <c r="E127" i="2" s="1"/>
  <c r="F126" i="2"/>
  <c r="E126" i="2" s="1"/>
  <c r="F125" i="2"/>
  <c r="E125" i="2" s="1"/>
  <c r="F124" i="2"/>
  <c r="E124" i="2" s="1"/>
  <c r="F123" i="2"/>
  <c r="E123" i="2" s="1"/>
  <c r="F122" i="2"/>
  <c r="E122" i="2" s="1"/>
  <c r="F121" i="2"/>
  <c r="E121" i="2" s="1"/>
  <c r="F120" i="2"/>
  <c r="E120" i="2" s="1"/>
  <c r="F119" i="2"/>
  <c r="E119" i="2" s="1"/>
  <c r="F118" i="2"/>
  <c r="E118" i="2" s="1"/>
  <c r="F117" i="2"/>
  <c r="E117" i="2" s="1"/>
  <c r="F116" i="2"/>
  <c r="E116" i="2" s="1"/>
  <c r="F115" i="2"/>
  <c r="E115" i="2" s="1"/>
  <c r="F114" i="2"/>
  <c r="E114" i="2" s="1"/>
  <c r="F113" i="2"/>
  <c r="E113" i="2" s="1"/>
  <c r="F112" i="2"/>
  <c r="E112" i="2" s="1"/>
  <c r="F111" i="2"/>
  <c r="E111" i="2" s="1"/>
  <c r="F110" i="2"/>
  <c r="E110" i="2" s="1"/>
  <c r="F109" i="2"/>
  <c r="E109" i="2" s="1"/>
  <c r="F108" i="2"/>
  <c r="E108" i="2" s="1"/>
  <c r="F107" i="2"/>
  <c r="E107" i="2" s="1"/>
  <c r="F106" i="2"/>
  <c r="E106" i="2" s="1"/>
  <c r="F105" i="2"/>
  <c r="E105" i="2" s="1"/>
  <c r="F104" i="2"/>
  <c r="E104" i="2" s="1"/>
  <c r="F103" i="2"/>
  <c r="E103" i="2" s="1"/>
  <c r="C103" i="2"/>
  <c r="B103" i="2"/>
  <c r="F102" i="2"/>
  <c r="E102" i="2" s="1"/>
  <c r="C102" i="2"/>
  <c r="B102" i="2"/>
  <c r="F101" i="2"/>
  <c r="E101" i="2" s="1"/>
  <c r="C101" i="2"/>
  <c r="B101" i="2"/>
  <c r="F100" i="2"/>
  <c r="E100" i="2" s="1"/>
  <c r="C100" i="2"/>
  <c r="B100" i="2"/>
  <c r="F99" i="2"/>
  <c r="E99" i="2" s="1"/>
  <c r="C99" i="2"/>
  <c r="B99" i="2"/>
  <c r="F98" i="2"/>
  <c r="E98" i="2" s="1"/>
  <c r="C98" i="2"/>
  <c r="B98" i="2"/>
  <c r="F97" i="2"/>
  <c r="E97" i="2" s="1"/>
  <c r="C97" i="2"/>
  <c r="B97" i="2"/>
  <c r="F96" i="2"/>
  <c r="E96" i="2" s="1"/>
  <c r="C96" i="2"/>
  <c r="B96" i="2"/>
  <c r="F95" i="2"/>
  <c r="E95" i="2" s="1"/>
  <c r="C95" i="2"/>
  <c r="B95" i="2"/>
  <c r="F94" i="2"/>
  <c r="E94" i="2" s="1"/>
  <c r="C94" i="2"/>
  <c r="B94" i="2"/>
  <c r="B76" i="2"/>
  <c r="B75" i="2"/>
  <c r="B87" i="2" s="1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C31" i="2"/>
  <c r="B31" i="2"/>
  <c r="G30" i="2"/>
  <c r="F30" i="2"/>
  <c r="C30" i="2"/>
  <c r="B30" i="2"/>
  <c r="G29" i="2"/>
  <c r="F29" i="2"/>
  <c r="C29" i="2"/>
  <c r="B29" i="2"/>
  <c r="G28" i="2"/>
  <c r="F28" i="2"/>
  <c r="C28" i="2"/>
  <c r="B28" i="2"/>
  <c r="G27" i="2"/>
  <c r="F27" i="2"/>
  <c r="C27" i="2"/>
  <c r="B27" i="2"/>
  <c r="G26" i="2"/>
  <c r="F26" i="2"/>
  <c r="C26" i="2"/>
  <c r="B26" i="2"/>
  <c r="G25" i="2"/>
  <c r="F25" i="2"/>
  <c r="C25" i="2"/>
  <c r="B25" i="2"/>
  <c r="G24" i="2"/>
  <c r="F24" i="2"/>
  <c r="C24" i="2"/>
  <c r="B24" i="2"/>
  <c r="G23" i="2"/>
  <c r="F23" i="2"/>
  <c r="C23" i="2"/>
  <c r="B23" i="2"/>
  <c r="G22" i="2"/>
  <c r="F22" i="2"/>
  <c r="C22" i="2"/>
  <c r="B22" i="2"/>
  <c r="C17" i="2"/>
  <c r="B17" i="2"/>
  <c r="C16" i="2"/>
  <c r="B16" i="2"/>
  <c r="G15" i="2"/>
  <c r="F15" i="2"/>
  <c r="C15" i="2"/>
  <c r="B15" i="2"/>
  <c r="G14" i="2"/>
  <c r="F14" i="2"/>
  <c r="C14" i="2"/>
  <c r="B14" i="2"/>
  <c r="G13" i="2"/>
  <c r="F13" i="2"/>
  <c r="C13" i="2"/>
  <c r="B13" i="2"/>
  <c r="T9" i="2"/>
  <c r="S9" i="2"/>
  <c r="R9" i="2"/>
  <c r="Q9" i="2"/>
  <c r="P9" i="2"/>
  <c r="O9" i="2"/>
  <c r="N9" i="2"/>
  <c r="M9" i="2"/>
  <c r="L9" i="2"/>
  <c r="K9" i="2"/>
  <c r="T8" i="2"/>
  <c r="S8" i="2"/>
  <c r="R8" i="2"/>
  <c r="Q8" i="2"/>
  <c r="P8" i="2"/>
  <c r="O8" i="2"/>
  <c r="N8" i="2"/>
  <c r="M8" i="2"/>
  <c r="L8" i="2"/>
  <c r="K8" i="2"/>
  <c r="B8" i="2"/>
  <c r="T7" i="2"/>
  <c r="S7" i="2"/>
  <c r="R7" i="2"/>
  <c r="Q7" i="2"/>
  <c r="P7" i="2"/>
  <c r="O7" i="2"/>
  <c r="N7" i="2"/>
  <c r="M7" i="2"/>
  <c r="L7" i="2"/>
  <c r="K7" i="2"/>
  <c r="B7" i="2"/>
  <c r="T6" i="2"/>
  <c r="S6" i="2"/>
  <c r="R6" i="2"/>
  <c r="Q6" i="2"/>
  <c r="P6" i="2"/>
  <c r="O6" i="2"/>
  <c r="N6" i="2"/>
  <c r="M6" i="2"/>
  <c r="L6" i="2"/>
  <c r="K6" i="2"/>
  <c r="B6" i="2"/>
  <c r="T5" i="2"/>
  <c r="S5" i="2"/>
  <c r="R5" i="2"/>
  <c r="Q5" i="2"/>
  <c r="P5" i="2"/>
  <c r="O5" i="2"/>
  <c r="N5" i="2"/>
  <c r="M5" i="2"/>
  <c r="L5" i="2"/>
  <c r="K5" i="2"/>
  <c r="B5" i="2"/>
  <c r="B4" i="2"/>
  <c r="R251" i="1"/>
  <c r="Q251" i="1"/>
  <c r="P251" i="1"/>
  <c r="O251" i="1"/>
  <c r="R250" i="1"/>
  <c r="Q250" i="1"/>
  <c r="P250" i="1"/>
  <c r="O250" i="1"/>
  <c r="R249" i="1"/>
  <c r="Q249" i="1"/>
  <c r="P249" i="1"/>
  <c r="O249" i="1"/>
  <c r="R248" i="1"/>
  <c r="Q248" i="1"/>
  <c r="P248" i="1"/>
  <c r="O248" i="1"/>
  <c r="R247" i="1"/>
  <c r="Q247" i="1"/>
  <c r="P247" i="1"/>
  <c r="O247" i="1"/>
  <c r="R246" i="1"/>
  <c r="Q246" i="1"/>
  <c r="P246" i="1"/>
  <c r="O246" i="1"/>
  <c r="R245" i="1"/>
  <c r="Q245" i="1"/>
  <c r="P245" i="1"/>
  <c r="O245" i="1"/>
  <c r="R244" i="1"/>
  <c r="Q244" i="1"/>
  <c r="P244" i="1"/>
  <c r="O244" i="1"/>
  <c r="R243" i="1"/>
  <c r="Q243" i="1"/>
  <c r="P243" i="1"/>
  <c r="O243" i="1"/>
  <c r="R242" i="1"/>
  <c r="Q242" i="1"/>
  <c r="P242" i="1"/>
  <c r="O242" i="1"/>
  <c r="R241" i="1"/>
  <c r="Q241" i="1"/>
  <c r="P241" i="1"/>
  <c r="O241" i="1"/>
  <c r="R240" i="1"/>
  <c r="Q240" i="1"/>
  <c r="P240" i="1"/>
  <c r="O240" i="1"/>
  <c r="R239" i="1"/>
  <c r="Q239" i="1"/>
  <c r="P239" i="1"/>
  <c r="O239" i="1"/>
  <c r="R238" i="1"/>
  <c r="Q238" i="1"/>
  <c r="P238" i="1"/>
  <c r="O238" i="1"/>
  <c r="R237" i="1"/>
  <c r="Q237" i="1"/>
  <c r="P237" i="1"/>
  <c r="O237" i="1"/>
  <c r="R236" i="1"/>
  <c r="Q236" i="1"/>
  <c r="P236" i="1"/>
  <c r="O236" i="1"/>
  <c r="R235" i="1"/>
  <c r="Q235" i="1"/>
  <c r="P235" i="1"/>
  <c r="O235" i="1"/>
  <c r="R234" i="1"/>
  <c r="Q234" i="1"/>
  <c r="P234" i="1"/>
  <c r="O234" i="1"/>
  <c r="R233" i="1"/>
  <c r="Q233" i="1"/>
  <c r="P233" i="1"/>
  <c r="O233" i="1"/>
  <c r="R232" i="1"/>
  <c r="Q232" i="1"/>
  <c r="P232" i="1"/>
  <c r="O232" i="1"/>
  <c r="R231" i="1"/>
  <c r="Q231" i="1"/>
  <c r="P231" i="1"/>
  <c r="O231" i="1"/>
  <c r="R230" i="1"/>
  <c r="Q230" i="1"/>
  <c r="P230" i="1"/>
  <c r="O230" i="1"/>
  <c r="R229" i="1"/>
  <c r="Q229" i="1"/>
  <c r="P229" i="1"/>
  <c r="O229" i="1"/>
  <c r="R228" i="1"/>
  <c r="Q228" i="1"/>
  <c r="P228" i="1"/>
  <c r="O228" i="1"/>
  <c r="R227" i="1"/>
  <c r="Q227" i="1"/>
  <c r="P227" i="1"/>
  <c r="O227" i="1"/>
  <c r="R226" i="1"/>
  <c r="Q226" i="1"/>
  <c r="P226" i="1"/>
  <c r="O226" i="1"/>
  <c r="R225" i="1"/>
  <c r="Q225" i="1"/>
  <c r="P225" i="1"/>
  <c r="O225" i="1"/>
  <c r="R224" i="1"/>
  <c r="Q224" i="1"/>
  <c r="P224" i="1"/>
  <c r="O224" i="1"/>
  <c r="R223" i="1"/>
  <c r="Q223" i="1"/>
  <c r="P223" i="1"/>
  <c r="O223" i="1"/>
  <c r="R222" i="1"/>
  <c r="Q222" i="1"/>
  <c r="P222" i="1"/>
  <c r="O222" i="1"/>
  <c r="R221" i="1"/>
  <c r="Q221" i="1"/>
  <c r="P221" i="1"/>
  <c r="O221" i="1"/>
  <c r="R220" i="1"/>
  <c r="Q220" i="1"/>
  <c r="P220" i="1"/>
  <c r="O220" i="1"/>
  <c r="R219" i="1"/>
  <c r="Q219" i="1"/>
  <c r="P219" i="1"/>
  <c r="O219" i="1"/>
  <c r="R218" i="1"/>
  <c r="Q218" i="1"/>
  <c r="P218" i="1"/>
  <c r="O218" i="1"/>
  <c r="R217" i="1"/>
  <c r="Q217" i="1"/>
  <c r="P217" i="1"/>
  <c r="O217" i="1"/>
  <c r="R216" i="1"/>
  <c r="Q216" i="1"/>
  <c r="P216" i="1"/>
  <c r="O216" i="1"/>
  <c r="R215" i="1"/>
  <c r="Q215" i="1"/>
  <c r="P215" i="1"/>
  <c r="O215" i="1"/>
  <c r="R214" i="1"/>
  <c r="Q214" i="1"/>
  <c r="P214" i="1"/>
  <c r="O214" i="1"/>
  <c r="R213" i="1"/>
  <c r="Q213" i="1"/>
  <c r="P213" i="1"/>
  <c r="O213" i="1"/>
  <c r="R212" i="1"/>
  <c r="Q212" i="1"/>
  <c r="P212" i="1"/>
  <c r="O212" i="1"/>
  <c r="R211" i="1"/>
  <c r="Q211" i="1"/>
  <c r="P211" i="1"/>
  <c r="O211" i="1"/>
  <c r="R210" i="1"/>
  <c r="Q210" i="1"/>
  <c r="P210" i="1"/>
  <c r="O210" i="1"/>
  <c r="R209" i="1"/>
  <c r="Q209" i="1"/>
  <c r="P209" i="1"/>
  <c r="O209" i="1"/>
  <c r="R208" i="1"/>
  <c r="Q208" i="1"/>
  <c r="P208" i="1"/>
  <c r="O208" i="1"/>
  <c r="R207" i="1"/>
  <c r="Q207" i="1"/>
  <c r="P207" i="1"/>
  <c r="O207" i="1"/>
  <c r="R206" i="1"/>
  <c r="Q206" i="1"/>
  <c r="P206" i="1"/>
  <c r="O206" i="1"/>
  <c r="R205" i="1"/>
  <c r="Q205" i="1"/>
  <c r="P205" i="1"/>
  <c r="O205" i="1"/>
  <c r="R204" i="1"/>
  <c r="Q204" i="1"/>
  <c r="P204" i="1"/>
  <c r="O204" i="1"/>
  <c r="R203" i="1"/>
  <c r="Q203" i="1"/>
  <c r="P203" i="1"/>
  <c r="O203" i="1"/>
  <c r="R202" i="1"/>
  <c r="Q202" i="1"/>
  <c r="P202" i="1"/>
  <c r="O202" i="1"/>
  <c r="R201" i="1"/>
  <c r="Q201" i="1"/>
  <c r="P201" i="1"/>
  <c r="O201" i="1"/>
  <c r="R200" i="1"/>
  <c r="Q200" i="1"/>
  <c r="P200" i="1"/>
  <c r="O200" i="1"/>
  <c r="R199" i="1"/>
  <c r="Q199" i="1"/>
  <c r="P199" i="1"/>
  <c r="O199" i="1"/>
  <c r="R198" i="1"/>
  <c r="Q198" i="1"/>
  <c r="P198" i="1"/>
  <c r="O198" i="1"/>
  <c r="R197" i="1"/>
  <c r="Q197" i="1"/>
  <c r="P197" i="1"/>
  <c r="O197" i="1"/>
  <c r="R196" i="1"/>
  <c r="Q196" i="1"/>
  <c r="P196" i="1"/>
  <c r="O196" i="1"/>
  <c r="R195" i="1"/>
  <c r="Q195" i="1"/>
  <c r="P195" i="1"/>
  <c r="O195" i="1"/>
  <c r="R194" i="1"/>
  <c r="Q194" i="1"/>
  <c r="P194" i="1"/>
  <c r="O194" i="1"/>
  <c r="R193" i="1"/>
  <c r="Q193" i="1"/>
  <c r="P193" i="1"/>
  <c r="O193" i="1"/>
  <c r="R192" i="1"/>
  <c r="Q192" i="1"/>
  <c r="P192" i="1"/>
  <c r="O192" i="1"/>
  <c r="R191" i="1"/>
  <c r="Q191" i="1"/>
  <c r="P191" i="1"/>
  <c r="O191" i="1"/>
  <c r="R190" i="1"/>
  <c r="Q190" i="1"/>
  <c r="P190" i="1"/>
  <c r="O190" i="1"/>
  <c r="R189" i="1"/>
  <c r="Q189" i="1"/>
  <c r="P189" i="1"/>
  <c r="O189" i="1"/>
  <c r="R188" i="1"/>
  <c r="Q188" i="1"/>
  <c r="P188" i="1"/>
  <c r="O188" i="1"/>
  <c r="R187" i="1"/>
  <c r="Q187" i="1"/>
  <c r="P187" i="1"/>
  <c r="O187" i="1"/>
  <c r="R186" i="1"/>
  <c r="Q186" i="1"/>
  <c r="P186" i="1"/>
  <c r="O186" i="1"/>
  <c r="R185" i="1"/>
  <c r="Q185" i="1"/>
  <c r="P185" i="1"/>
  <c r="O185" i="1"/>
  <c r="R184" i="1"/>
  <c r="Q184" i="1"/>
  <c r="P184" i="1"/>
  <c r="O184" i="1"/>
  <c r="R183" i="1"/>
  <c r="Q183" i="1"/>
  <c r="P183" i="1"/>
  <c r="O183" i="1"/>
  <c r="R182" i="1"/>
  <c r="Q182" i="1"/>
  <c r="P182" i="1"/>
  <c r="O182" i="1"/>
  <c r="R181" i="1"/>
  <c r="Q181" i="1"/>
  <c r="P181" i="1"/>
  <c r="O181" i="1"/>
  <c r="R180" i="1"/>
  <c r="Q180" i="1"/>
  <c r="P180" i="1"/>
  <c r="O180" i="1"/>
  <c r="R179" i="1"/>
  <c r="Q179" i="1"/>
  <c r="P179" i="1"/>
  <c r="O179" i="1"/>
  <c r="R178" i="1"/>
  <c r="Q178" i="1"/>
  <c r="P178" i="1"/>
  <c r="O178" i="1"/>
  <c r="R177" i="1"/>
  <c r="Q177" i="1"/>
  <c r="P177" i="1"/>
  <c r="O177" i="1"/>
  <c r="R176" i="1"/>
  <c r="Q176" i="1"/>
  <c r="P176" i="1"/>
  <c r="O176" i="1"/>
  <c r="R175" i="1"/>
  <c r="Q175" i="1"/>
  <c r="P175" i="1"/>
  <c r="O175" i="1"/>
  <c r="R174" i="1"/>
  <c r="Q174" i="1"/>
  <c r="P174" i="1"/>
  <c r="O174" i="1"/>
  <c r="R173" i="1"/>
  <c r="Q173" i="1"/>
  <c r="P173" i="1"/>
  <c r="O173" i="1"/>
  <c r="R172" i="1"/>
  <c r="Q172" i="1"/>
  <c r="P172" i="1"/>
  <c r="O172" i="1"/>
  <c r="R171" i="1"/>
  <c r="Q171" i="1"/>
  <c r="P171" i="1"/>
  <c r="O171" i="1"/>
  <c r="R170" i="1"/>
  <c r="Q170" i="1"/>
  <c r="P170" i="1"/>
  <c r="O170" i="1"/>
  <c r="R169" i="1"/>
  <c r="Q169" i="1"/>
  <c r="P169" i="1"/>
  <c r="O169" i="1"/>
  <c r="R168" i="1"/>
  <c r="Q168" i="1"/>
  <c r="P168" i="1"/>
  <c r="O168" i="1"/>
  <c r="R167" i="1"/>
  <c r="Q167" i="1"/>
  <c r="P167" i="1"/>
  <c r="O167" i="1"/>
  <c r="R166" i="1"/>
  <c r="Q166" i="1"/>
  <c r="P166" i="1"/>
  <c r="O166" i="1"/>
  <c r="R165" i="1"/>
  <c r="Q165" i="1"/>
  <c r="P165" i="1"/>
  <c r="O165" i="1"/>
  <c r="R164" i="1"/>
  <c r="Q164" i="1"/>
  <c r="P164" i="1"/>
  <c r="O164" i="1"/>
  <c r="R163" i="1"/>
  <c r="Q163" i="1"/>
  <c r="P163" i="1"/>
  <c r="O163" i="1"/>
  <c r="R162" i="1"/>
  <c r="Q162" i="1"/>
  <c r="P162" i="1"/>
  <c r="O162" i="1"/>
  <c r="R161" i="1"/>
  <c r="Q161" i="1"/>
  <c r="P161" i="1"/>
  <c r="O161" i="1"/>
  <c r="R160" i="1"/>
  <c r="Q160" i="1"/>
  <c r="P160" i="1"/>
  <c r="O160" i="1"/>
  <c r="R159" i="1"/>
  <c r="Q159" i="1"/>
  <c r="P159" i="1"/>
  <c r="O159" i="1"/>
  <c r="R158" i="1"/>
  <c r="Q158" i="1"/>
  <c r="P158" i="1"/>
  <c r="O158" i="1"/>
  <c r="R157" i="1"/>
  <c r="Q157" i="1"/>
  <c r="P157" i="1"/>
  <c r="O157" i="1"/>
  <c r="R156" i="1"/>
  <c r="Q156" i="1"/>
  <c r="P156" i="1"/>
  <c r="O156" i="1"/>
  <c r="R155" i="1"/>
  <c r="Q155" i="1"/>
  <c r="P155" i="1"/>
  <c r="O155" i="1"/>
  <c r="R154" i="1"/>
  <c r="Q154" i="1"/>
  <c r="P154" i="1"/>
  <c r="O154" i="1"/>
  <c r="R153" i="1"/>
  <c r="Q153" i="1"/>
  <c r="P153" i="1"/>
  <c r="O153" i="1"/>
  <c r="R152" i="1"/>
  <c r="Q152" i="1"/>
  <c r="P152" i="1"/>
  <c r="O152" i="1"/>
  <c r="R151" i="1"/>
  <c r="Q151" i="1"/>
  <c r="P151" i="1"/>
  <c r="O151" i="1"/>
  <c r="R150" i="1"/>
  <c r="Q150" i="1"/>
  <c r="P150" i="1"/>
  <c r="O150" i="1"/>
  <c r="R149" i="1"/>
  <c r="Q149" i="1"/>
  <c r="P149" i="1"/>
  <c r="O149" i="1"/>
  <c r="R148" i="1"/>
  <c r="Q148" i="1"/>
  <c r="P148" i="1"/>
  <c r="O148" i="1"/>
  <c r="R147" i="1"/>
  <c r="Q147" i="1"/>
  <c r="P147" i="1"/>
  <c r="O147" i="1"/>
  <c r="R146" i="1"/>
  <c r="Q146" i="1"/>
  <c r="P146" i="1"/>
  <c r="O146" i="1"/>
  <c r="R145" i="1"/>
  <c r="Q145" i="1"/>
  <c r="P145" i="1"/>
  <c r="O145" i="1"/>
  <c r="R144" i="1"/>
  <c r="Q144" i="1"/>
  <c r="P144" i="1"/>
  <c r="O144" i="1"/>
  <c r="R143" i="1"/>
  <c r="Q143" i="1"/>
  <c r="P143" i="1"/>
  <c r="O143" i="1"/>
  <c r="R142" i="1"/>
  <c r="Q142" i="1"/>
  <c r="P142" i="1"/>
  <c r="O142" i="1"/>
  <c r="R141" i="1"/>
  <c r="Q141" i="1"/>
  <c r="P141" i="1"/>
  <c r="O141" i="1"/>
  <c r="R140" i="1"/>
  <c r="Q140" i="1"/>
  <c r="P140" i="1"/>
  <c r="O140" i="1"/>
  <c r="R139" i="1"/>
  <c r="Q139" i="1"/>
  <c r="P139" i="1"/>
  <c r="O139" i="1"/>
  <c r="R138" i="1"/>
  <c r="Q138" i="1"/>
  <c r="P138" i="1"/>
  <c r="O138" i="1"/>
  <c r="R137" i="1"/>
  <c r="Q137" i="1"/>
  <c r="P137" i="1"/>
  <c r="O137" i="1"/>
  <c r="R136" i="1"/>
  <c r="Q136" i="1"/>
  <c r="P136" i="1"/>
  <c r="O136" i="1"/>
  <c r="R135" i="1"/>
  <c r="Q135" i="1"/>
  <c r="P135" i="1"/>
  <c r="O135" i="1"/>
  <c r="R134" i="1"/>
  <c r="Q134" i="1"/>
  <c r="P134" i="1"/>
  <c r="O134" i="1"/>
  <c r="R133" i="1"/>
  <c r="Q133" i="1"/>
  <c r="P133" i="1"/>
  <c r="O133" i="1"/>
  <c r="R132" i="1"/>
  <c r="Q132" i="1"/>
  <c r="P132" i="1"/>
  <c r="O132" i="1"/>
  <c r="R131" i="1"/>
  <c r="Q131" i="1"/>
  <c r="P131" i="1"/>
  <c r="O131" i="1"/>
  <c r="R130" i="1"/>
  <c r="Q130" i="1"/>
  <c r="P130" i="1"/>
  <c r="O130" i="1"/>
  <c r="R129" i="1"/>
  <c r="Q129" i="1"/>
  <c r="P129" i="1"/>
  <c r="O129" i="1"/>
  <c r="R128" i="1"/>
  <c r="Q128" i="1"/>
  <c r="P128" i="1"/>
  <c r="O128" i="1"/>
  <c r="R127" i="1"/>
  <c r="Q127" i="1"/>
  <c r="P127" i="1"/>
  <c r="O127" i="1"/>
  <c r="R126" i="1"/>
  <c r="Q126" i="1"/>
  <c r="P126" i="1"/>
  <c r="O126" i="1"/>
  <c r="R125" i="1"/>
  <c r="Q125" i="1"/>
  <c r="P125" i="1"/>
  <c r="O125" i="1"/>
  <c r="R124" i="1"/>
  <c r="Q124" i="1"/>
  <c r="P124" i="1"/>
  <c r="O124" i="1"/>
  <c r="R123" i="1"/>
  <c r="Q123" i="1"/>
  <c r="P123" i="1"/>
  <c r="O123" i="1"/>
  <c r="R122" i="1"/>
  <c r="Q122" i="1"/>
  <c r="P122" i="1"/>
  <c r="O122" i="1"/>
  <c r="R121" i="1"/>
  <c r="Q121" i="1"/>
  <c r="P121" i="1"/>
  <c r="O121" i="1"/>
  <c r="R120" i="1"/>
  <c r="Q120" i="1"/>
  <c r="P120" i="1"/>
  <c r="O120" i="1"/>
  <c r="R119" i="1"/>
  <c r="Q119" i="1"/>
  <c r="P119" i="1"/>
  <c r="O119" i="1"/>
  <c r="R118" i="1"/>
  <c r="Q118" i="1"/>
  <c r="P118" i="1"/>
  <c r="O118" i="1"/>
  <c r="R117" i="1"/>
  <c r="Q117" i="1"/>
  <c r="P117" i="1"/>
  <c r="O117" i="1"/>
  <c r="R116" i="1"/>
  <c r="Q116" i="1"/>
  <c r="P116" i="1"/>
  <c r="O116" i="1"/>
  <c r="R115" i="1"/>
  <c r="Q115" i="1"/>
  <c r="P115" i="1"/>
  <c r="O115" i="1"/>
  <c r="R114" i="1"/>
  <c r="Q114" i="1"/>
  <c r="P114" i="1"/>
  <c r="O114" i="1"/>
  <c r="R113" i="1"/>
  <c r="Q113" i="1"/>
  <c r="P113" i="1"/>
  <c r="O113" i="1"/>
  <c r="R112" i="1"/>
  <c r="Q112" i="1"/>
  <c r="P112" i="1"/>
  <c r="O112" i="1"/>
  <c r="R111" i="1"/>
  <c r="Q111" i="1"/>
  <c r="P111" i="1"/>
  <c r="O111" i="1"/>
  <c r="R110" i="1"/>
  <c r="Q110" i="1"/>
  <c r="P110" i="1"/>
  <c r="O110" i="1"/>
  <c r="R109" i="1"/>
  <c r="Q109" i="1"/>
  <c r="P109" i="1"/>
  <c r="O109" i="1"/>
  <c r="R108" i="1"/>
  <c r="Q108" i="1"/>
  <c r="P108" i="1"/>
  <c r="O108" i="1"/>
  <c r="R107" i="1"/>
  <c r="Q107" i="1"/>
  <c r="P107" i="1"/>
  <c r="O107" i="1"/>
  <c r="R106" i="1"/>
  <c r="Q106" i="1"/>
  <c r="P106" i="1"/>
  <c r="O106" i="1"/>
  <c r="R105" i="1"/>
  <c r="Q105" i="1"/>
  <c r="P105" i="1"/>
  <c r="O105" i="1"/>
  <c r="R104" i="1"/>
  <c r="Q104" i="1"/>
  <c r="P104" i="1"/>
  <c r="O104" i="1"/>
  <c r="R103" i="1"/>
  <c r="Q103" i="1"/>
  <c r="P103" i="1"/>
  <c r="O103" i="1"/>
  <c r="R102" i="1"/>
  <c r="Q102" i="1"/>
  <c r="P102" i="1"/>
  <c r="O102" i="1"/>
  <c r="R101" i="1"/>
  <c r="Q101" i="1"/>
  <c r="P101" i="1"/>
  <c r="O101" i="1"/>
  <c r="R100" i="1"/>
  <c r="Q100" i="1"/>
  <c r="P100" i="1"/>
  <c r="O100" i="1"/>
  <c r="R99" i="1"/>
  <c r="Q99" i="1"/>
  <c r="P99" i="1"/>
  <c r="O99" i="1"/>
  <c r="R98" i="1"/>
  <c r="Q98" i="1"/>
  <c r="P98" i="1"/>
  <c r="O98" i="1"/>
  <c r="R97" i="1"/>
  <c r="Q97" i="1"/>
  <c r="P97" i="1"/>
  <c r="O97" i="1"/>
  <c r="R96" i="1"/>
  <c r="Q96" i="1"/>
  <c r="P96" i="1"/>
  <c r="O96" i="1"/>
  <c r="R95" i="1"/>
  <c r="Q95" i="1"/>
  <c r="P95" i="1"/>
  <c r="O95" i="1"/>
  <c r="R94" i="1"/>
  <c r="Q94" i="1"/>
  <c r="P94" i="1"/>
  <c r="O94" i="1"/>
  <c r="R93" i="1"/>
  <c r="Q93" i="1"/>
  <c r="P93" i="1"/>
  <c r="O93" i="1"/>
  <c r="R92" i="1"/>
  <c r="Q92" i="1"/>
  <c r="P92" i="1"/>
  <c r="O92" i="1"/>
  <c r="R91" i="1"/>
  <c r="Q91" i="1"/>
  <c r="P91" i="1"/>
  <c r="O91" i="1"/>
  <c r="R90" i="1"/>
  <c r="Q90" i="1"/>
  <c r="P90" i="1"/>
  <c r="O90" i="1"/>
  <c r="R89" i="1"/>
  <c r="Q89" i="1"/>
  <c r="P89" i="1"/>
  <c r="O89" i="1"/>
  <c r="R88" i="1"/>
  <c r="Q88" i="1"/>
  <c r="P88" i="1"/>
  <c r="O88" i="1"/>
  <c r="R87" i="1"/>
  <c r="Q87" i="1"/>
  <c r="P87" i="1"/>
  <c r="O87" i="1"/>
  <c r="R86" i="1"/>
  <c r="Q86" i="1"/>
  <c r="P86" i="1"/>
  <c r="O86" i="1"/>
  <c r="R85" i="1"/>
  <c r="Q85" i="1"/>
  <c r="P85" i="1"/>
  <c r="O85" i="1"/>
  <c r="R84" i="1"/>
  <c r="Q84" i="1"/>
  <c r="P84" i="1"/>
  <c r="O84" i="1"/>
  <c r="R83" i="1"/>
  <c r="Q83" i="1"/>
  <c r="P83" i="1"/>
  <c r="O83" i="1"/>
  <c r="R82" i="1"/>
  <c r="Q82" i="1"/>
  <c r="P82" i="1"/>
  <c r="O82" i="1"/>
  <c r="R81" i="1"/>
  <c r="Q81" i="1"/>
  <c r="P81" i="1"/>
  <c r="O81" i="1"/>
  <c r="R80" i="1"/>
  <c r="Q80" i="1"/>
  <c r="P80" i="1"/>
  <c r="O80" i="1"/>
  <c r="R79" i="1"/>
  <c r="Q79" i="1"/>
  <c r="P79" i="1"/>
  <c r="O79" i="1"/>
  <c r="R78" i="1"/>
  <c r="Q78" i="1"/>
  <c r="P78" i="1"/>
  <c r="O78" i="1"/>
  <c r="R77" i="1"/>
  <c r="Q77" i="1"/>
  <c r="P77" i="1"/>
  <c r="O77" i="1"/>
  <c r="R76" i="1"/>
  <c r="Q76" i="1"/>
  <c r="P76" i="1"/>
  <c r="O76" i="1"/>
  <c r="R75" i="1"/>
  <c r="Q75" i="1"/>
  <c r="P75" i="1"/>
  <c r="O75" i="1"/>
  <c r="R74" i="1"/>
  <c r="Q74" i="1"/>
  <c r="P74" i="1"/>
  <c r="O74" i="1"/>
  <c r="R73" i="1"/>
  <c r="Q73" i="1"/>
  <c r="P73" i="1"/>
  <c r="O73" i="1"/>
  <c r="R72" i="1"/>
  <c r="Q72" i="1"/>
  <c r="P72" i="1"/>
  <c r="O72" i="1"/>
  <c r="R71" i="1"/>
  <c r="Q71" i="1"/>
  <c r="P71" i="1"/>
  <c r="O71" i="1"/>
  <c r="R70" i="1"/>
  <c r="Q70" i="1"/>
  <c r="P70" i="1"/>
  <c r="O70" i="1"/>
  <c r="R69" i="1"/>
  <c r="Q69" i="1"/>
  <c r="P69" i="1"/>
  <c r="O69" i="1"/>
  <c r="R68" i="1"/>
  <c r="Q68" i="1"/>
  <c r="P68" i="1"/>
  <c r="O68" i="1"/>
  <c r="R67" i="1"/>
  <c r="Q67" i="1"/>
  <c r="P67" i="1"/>
  <c r="O67" i="1"/>
  <c r="R66" i="1"/>
  <c r="Q66" i="1"/>
  <c r="P66" i="1"/>
  <c r="O66" i="1"/>
  <c r="R65" i="1"/>
  <c r="Q65" i="1"/>
  <c r="P65" i="1"/>
  <c r="O65" i="1"/>
  <c r="R64" i="1"/>
  <c r="Q64" i="1"/>
  <c r="P64" i="1"/>
  <c r="O64" i="1"/>
  <c r="R63" i="1"/>
  <c r="Q63" i="1"/>
  <c r="P63" i="1"/>
  <c r="O63" i="1"/>
  <c r="R62" i="1"/>
  <c r="Q62" i="1"/>
  <c r="P62" i="1"/>
  <c r="O62" i="1"/>
  <c r="R61" i="1"/>
  <c r="Q61" i="1"/>
  <c r="P61" i="1"/>
  <c r="O61" i="1"/>
  <c r="R60" i="1"/>
  <c r="Q60" i="1"/>
  <c r="P60" i="1"/>
  <c r="O60" i="1"/>
  <c r="R59" i="1"/>
  <c r="Q59" i="1"/>
  <c r="P59" i="1"/>
  <c r="O59" i="1"/>
  <c r="R58" i="1"/>
  <c r="Q58" i="1"/>
  <c r="P58" i="1"/>
  <c r="O58" i="1"/>
  <c r="R57" i="1"/>
  <c r="Q57" i="1"/>
  <c r="P57" i="1"/>
  <c r="O57" i="1"/>
  <c r="R56" i="1"/>
  <c r="Q56" i="1"/>
  <c r="P56" i="1"/>
  <c r="O56" i="1"/>
  <c r="R55" i="1"/>
  <c r="Q55" i="1"/>
  <c r="P55" i="1"/>
  <c r="O55" i="1"/>
  <c r="R54" i="1"/>
  <c r="Q54" i="1"/>
  <c r="P54" i="1"/>
  <c r="O54" i="1"/>
  <c r="R53" i="1"/>
  <c r="Q53" i="1"/>
  <c r="P53" i="1"/>
  <c r="O53" i="1"/>
  <c r="R52" i="1"/>
  <c r="Q52" i="1"/>
  <c r="P52" i="1"/>
  <c r="O52" i="1"/>
  <c r="R51" i="1"/>
  <c r="Q51" i="1"/>
  <c r="P51" i="1"/>
  <c r="O51" i="1"/>
  <c r="R50" i="1"/>
  <c r="Q50" i="1"/>
  <c r="P50" i="1"/>
  <c r="O50" i="1"/>
  <c r="R49" i="1"/>
  <c r="Q49" i="1"/>
  <c r="P49" i="1"/>
  <c r="O49" i="1"/>
  <c r="R48" i="1"/>
  <c r="Q48" i="1"/>
  <c r="P48" i="1"/>
  <c r="O48" i="1"/>
  <c r="R47" i="1"/>
  <c r="Q47" i="1"/>
  <c r="P47" i="1"/>
  <c r="O47" i="1"/>
  <c r="R46" i="1"/>
  <c r="Q46" i="1"/>
  <c r="P46" i="1"/>
  <c r="O46" i="1"/>
  <c r="R45" i="1"/>
  <c r="Q45" i="1"/>
  <c r="P45" i="1"/>
  <c r="O45" i="1"/>
  <c r="R44" i="1"/>
  <c r="Q44" i="1"/>
  <c r="P44" i="1"/>
  <c r="O44" i="1"/>
  <c r="R43" i="1"/>
  <c r="Q43" i="1"/>
  <c r="P43" i="1"/>
  <c r="O43" i="1"/>
  <c r="R42" i="1"/>
  <c r="Q42" i="1"/>
  <c r="P42" i="1"/>
  <c r="O42" i="1"/>
  <c r="R41" i="1"/>
  <c r="Q41" i="1"/>
  <c r="P41" i="1"/>
  <c r="O41" i="1"/>
  <c r="R40" i="1"/>
  <c r="Q40" i="1"/>
  <c r="P40" i="1"/>
  <c r="O40" i="1"/>
  <c r="R39" i="1"/>
  <c r="Q39" i="1"/>
  <c r="P39" i="1"/>
  <c r="O39" i="1"/>
  <c r="R38" i="1"/>
  <c r="Q38" i="1"/>
  <c r="P38" i="1"/>
  <c r="O38" i="1"/>
  <c r="R37" i="1"/>
  <c r="Q37" i="1"/>
  <c r="P37" i="1"/>
  <c r="O37" i="1"/>
  <c r="R36" i="1"/>
  <c r="Q36" i="1"/>
  <c r="P36" i="1"/>
  <c r="O36" i="1"/>
  <c r="R35" i="1"/>
  <c r="Q35" i="1"/>
  <c r="P35" i="1"/>
  <c r="O35" i="1"/>
  <c r="R34" i="1"/>
  <c r="Q34" i="1"/>
  <c r="P34" i="1"/>
  <c r="O34" i="1"/>
  <c r="R33" i="1"/>
  <c r="Q33" i="1"/>
  <c r="P33" i="1"/>
  <c r="O33" i="1"/>
  <c r="R32" i="1"/>
  <c r="Q32" i="1"/>
  <c r="P32" i="1"/>
  <c r="O32" i="1"/>
  <c r="R31" i="1"/>
  <c r="Q31" i="1"/>
  <c r="P31" i="1"/>
  <c r="O31" i="1"/>
  <c r="R30" i="1"/>
  <c r="Q30" i="1"/>
  <c r="P30" i="1"/>
  <c r="O30" i="1"/>
  <c r="R29" i="1"/>
  <c r="Q29" i="1"/>
  <c r="P29" i="1"/>
  <c r="O29" i="1"/>
  <c r="R28" i="1"/>
  <c r="Q28" i="1"/>
  <c r="P28" i="1"/>
  <c r="O28" i="1"/>
  <c r="R27" i="1"/>
  <c r="Q27" i="1"/>
  <c r="P27" i="1"/>
  <c r="O27" i="1"/>
  <c r="R26" i="1"/>
  <c r="Q26" i="1"/>
  <c r="P26" i="1"/>
  <c r="O26" i="1"/>
  <c r="R25" i="1"/>
  <c r="Q25" i="1"/>
  <c r="P25" i="1"/>
  <c r="O25" i="1"/>
  <c r="R24" i="1"/>
  <c r="Q24" i="1"/>
  <c r="P24" i="1"/>
  <c r="O24" i="1"/>
  <c r="R23" i="1"/>
  <c r="Q23" i="1"/>
  <c r="P23" i="1"/>
  <c r="O23" i="1"/>
  <c r="R22" i="1"/>
  <c r="Q22" i="1"/>
  <c r="P22" i="1"/>
  <c r="O22" i="1"/>
  <c r="R21" i="1"/>
  <c r="Q21" i="1"/>
  <c r="P21" i="1"/>
  <c r="O21" i="1"/>
  <c r="R20" i="1"/>
  <c r="Q20" i="1"/>
  <c r="P20" i="1"/>
  <c r="O20" i="1"/>
  <c r="R19" i="1"/>
  <c r="Q19" i="1"/>
  <c r="P19" i="1"/>
  <c r="O19" i="1"/>
  <c r="R18" i="1"/>
  <c r="Q18" i="1"/>
  <c r="P18" i="1"/>
  <c r="O18" i="1"/>
  <c r="R17" i="1"/>
  <c r="Q17" i="1"/>
  <c r="P17" i="1"/>
  <c r="O17" i="1"/>
  <c r="R16" i="1"/>
  <c r="Q16" i="1"/>
  <c r="P16" i="1"/>
  <c r="O16" i="1"/>
  <c r="R15" i="1"/>
  <c r="Q15" i="1"/>
  <c r="P15" i="1"/>
  <c r="O15" i="1"/>
  <c r="R14" i="1"/>
  <c r="Q14" i="1"/>
  <c r="P14" i="1"/>
  <c r="O14" i="1"/>
  <c r="R13" i="1"/>
  <c r="Q13" i="1"/>
  <c r="P13" i="1"/>
  <c r="O13" i="1"/>
  <c r="R12" i="1"/>
  <c r="Q12" i="1"/>
  <c r="P12" i="1"/>
  <c r="O12" i="1"/>
  <c r="R11" i="1"/>
  <c r="Q11" i="1"/>
  <c r="P11" i="1"/>
  <c r="O11" i="1"/>
  <c r="R10" i="1"/>
  <c r="Q10" i="1"/>
  <c r="P10" i="1"/>
  <c r="O10" i="1"/>
  <c r="R9" i="1"/>
  <c r="Q9" i="1"/>
  <c r="P9" i="1"/>
  <c r="O9" i="1"/>
  <c r="R8" i="1"/>
  <c r="Q8" i="1"/>
  <c r="P8" i="1"/>
  <c r="O8" i="1"/>
  <c r="R7" i="1"/>
  <c r="Q7" i="1"/>
  <c r="P7" i="1"/>
  <c r="O7" i="1"/>
  <c r="R6" i="1"/>
  <c r="Q6" i="1"/>
  <c r="P6" i="1"/>
  <c r="O6" i="1"/>
  <c r="R5" i="1"/>
  <c r="Q5" i="1"/>
  <c r="P5" i="1"/>
  <c r="O5" i="1"/>
  <c r="R4" i="1"/>
  <c r="Q4" i="1"/>
  <c r="P4" i="1"/>
  <c r="O4" i="1"/>
  <c r="R3" i="1"/>
  <c r="Q3" i="1"/>
  <c r="P3" i="1"/>
  <c r="O3" i="1"/>
  <c r="R2" i="1"/>
  <c r="Q2" i="1"/>
  <c r="P2" i="1"/>
  <c r="O2" i="1"/>
  <c r="C80" i="2" l="1"/>
  <c r="D80" i="2" s="1"/>
  <c r="C150" i="2"/>
  <c r="D150" i="2" s="1"/>
  <c r="C162" i="2"/>
  <c r="D162" i="2" s="1"/>
  <c r="C180" i="2"/>
  <c r="D180" i="2" s="1"/>
  <c r="C186" i="2"/>
  <c r="D186" i="2" s="1"/>
  <c r="C192" i="2"/>
  <c r="D192" i="2" s="1"/>
  <c r="C198" i="2"/>
  <c r="D198" i="2" s="1"/>
  <c r="D208" i="2"/>
  <c r="D220" i="2"/>
  <c r="D232" i="2"/>
  <c r="D244" i="2"/>
  <c r="D34" i="4"/>
  <c r="D210" i="2"/>
  <c r="D222" i="2"/>
  <c r="D234" i="2"/>
  <c r="C153" i="2"/>
  <c r="D153" i="2" s="1"/>
  <c r="C165" i="2"/>
  <c r="D165" i="2" s="1"/>
  <c r="C171" i="2"/>
  <c r="D171" i="2" s="1"/>
  <c r="C81" i="2"/>
  <c r="D81" i="2" s="1"/>
  <c r="L10" i="2"/>
  <c r="C82" i="2"/>
  <c r="D82" i="2" s="1"/>
  <c r="R10" i="2"/>
  <c r="S10" i="2"/>
  <c r="T10" i="2"/>
  <c r="U8" i="2"/>
  <c r="D246" i="2"/>
  <c r="C183" i="2"/>
  <c r="D183" i="2" s="1"/>
  <c r="C189" i="2"/>
  <c r="D189" i="2" s="1"/>
  <c r="C168" i="2"/>
  <c r="D168" i="2" s="1"/>
  <c r="C174" i="2"/>
  <c r="D174" i="2" s="1"/>
  <c r="C154" i="2"/>
  <c r="D154" i="2" s="1"/>
  <c r="D212" i="2"/>
  <c r="D224" i="2"/>
  <c r="D236" i="2"/>
  <c r="D248" i="2"/>
  <c r="D207" i="2"/>
  <c r="D213" i="2"/>
  <c r="D219" i="2"/>
  <c r="D225" i="2"/>
  <c r="D231" i="2"/>
  <c r="D243" i="2"/>
  <c r="D249" i="2"/>
  <c r="C156" i="2"/>
  <c r="D156" i="2" s="1"/>
  <c r="M10" i="2"/>
  <c r="C157" i="2"/>
  <c r="D157" i="2" s="1"/>
  <c r="C177" i="2"/>
  <c r="D177" i="2" s="1"/>
  <c r="C193" i="2"/>
  <c r="D193" i="2" s="1"/>
  <c r="N10" i="2"/>
  <c r="C178" i="2"/>
  <c r="D178" i="2" s="1"/>
  <c r="D214" i="2"/>
  <c r="D226" i="2"/>
  <c r="D238" i="2"/>
  <c r="D250" i="2"/>
  <c r="O10" i="2"/>
  <c r="C163" i="2"/>
  <c r="D163" i="2" s="1"/>
  <c r="D203" i="2"/>
  <c r="D209" i="2"/>
  <c r="D215" i="2"/>
  <c r="D221" i="2"/>
  <c r="D227" i="2"/>
  <c r="D233" i="2"/>
  <c r="D239" i="2"/>
  <c r="D245" i="2"/>
  <c r="D251" i="2"/>
  <c r="P10" i="2"/>
  <c r="C184" i="2"/>
  <c r="D184" i="2" s="1"/>
  <c r="U9" i="2"/>
  <c r="Q10" i="2"/>
  <c r="D36" i="4"/>
  <c r="C169" i="2"/>
  <c r="D169" i="2" s="1"/>
  <c r="D204" i="2"/>
  <c r="D216" i="2"/>
  <c r="D228" i="2"/>
  <c r="D240" i="2"/>
  <c r="D252" i="2"/>
  <c r="C159" i="2"/>
  <c r="D159" i="2" s="1"/>
  <c r="C175" i="2"/>
  <c r="D175" i="2" s="1"/>
  <c r="C195" i="2"/>
  <c r="D195" i="2" s="1"/>
  <c r="D205" i="2"/>
  <c r="D211" i="2"/>
  <c r="D217" i="2"/>
  <c r="D223" i="2"/>
  <c r="D229" i="2"/>
  <c r="D235" i="2"/>
  <c r="D241" i="2"/>
  <c r="D247" i="2"/>
  <c r="C160" i="2"/>
  <c r="D160" i="2" s="1"/>
  <c r="U7" i="2"/>
  <c r="C197" i="2"/>
  <c r="D197" i="2" s="1"/>
  <c r="C181" i="2"/>
  <c r="D181" i="2" s="1"/>
  <c r="U6" i="2"/>
  <c r="K8" i="4"/>
  <c r="C166" i="2"/>
  <c r="D166" i="2" s="1"/>
  <c r="D206" i="2"/>
  <c r="D218" i="2"/>
  <c r="D230" i="2"/>
  <c r="D242" i="2"/>
  <c r="C190" i="2"/>
  <c r="D190" i="2" s="1"/>
  <c r="C196" i="2"/>
  <c r="D196" i="2" s="1"/>
  <c r="K10" i="2"/>
  <c r="D35" i="4"/>
  <c r="C151" i="2"/>
  <c r="D151" i="2" s="1"/>
  <c r="C187" i="2"/>
  <c r="D187" i="2" s="1"/>
  <c r="D237" i="2"/>
  <c r="D37" i="4"/>
  <c r="C172" i="2"/>
  <c r="D172" i="2" s="1"/>
  <c r="K7" i="4"/>
  <c r="B86" i="2"/>
  <c r="B88" i="2" s="1"/>
  <c r="U5" i="2"/>
  <c r="K9" i="4"/>
  <c r="C149" i="2"/>
  <c r="D149" i="2" s="1"/>
  <c r="C152" i="2"/>
  <c r="D152" i="2" s="1"/>
  <c r="C155" i="2"/>
  <c r="D155" i="2" s="1"/>
  <c r="C158" i="2"/>
  <c r="D158" i="2" s="1"/>
  <c r="C161" i="2"/>
  <c r="D161" i="2" s="1"/>
  <c r="C164" i="2"/>
  <c r="D164" i="2" s="1"/>
  <c r="C167" i="2"/>
  <c r="D167" i="2" s="1"/>
  <c r="C170" i="2"/>
  <c r="D170" i="2" s="1"/>
  <c r="C173" i="2"/>
  <c r="D173" i="2" s="1"/>
  <c r="C176" i="2"/>
  <c r="D176" i="2" s="1"/>
  <c r="C179" i="2"/>
  <c r="D179" i="2" s="1"/>
  <c r="C182" i="2"/>
  <c r="D182" i="2" s="1"/>
  <c r="C185" i="2"/>
  <c r="D185" i="2" s="1"/>
  <c r="C188" i="2"/>
  <c r="D188" i="2" s="1"/>
  <c r="C191" i="2"/>
  <c r="D191" i="2" s="1"/>
  <c r="C194" i="2"/>
  <c r="D194" i="2" s="1"/>
  <c r="U10" i="2" l="1"/>
</calcChain>
</file>

<file path=xl/sharedStrings.xml><?xml version="1.0" encoding="utf-8"?>
<sst xmlns="http://schemas.openxmlformats.org/spreadsheetml/2006/main" count="2572" uniqueCount="480">
  <si>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</si>
  <si>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</si>
  <si>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</si>
  <si>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</si>
  <si>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</si>
  <si>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</si>
  <si>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</si>
  <si>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</si>
  <si>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</si>
  <si>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</si>
  <si>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</si>
  <si>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</si>
  <si>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</si>
  <si>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</si>
  <si>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Customer Tenure (Years)</t>
  </si>
  <si>
    <t>Month End</t>
  </si>
  <si>
    <t>Revenue Check</t>
  </si>
  <si>
    <t>Purchase Timestamp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</si>
  <si>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</si>
  <si>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</si>
  <si>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</si>
  <si>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</si>
  <si>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</si>
  <si>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</si>
  <si>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</si>
  <si>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</si>
  <si>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</si>
  <si>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</si>
  <si>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</si>
  <si>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</si>
  <si>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</si>
  <si>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</si>
  <si>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</si>
  <si>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</si>
  <si>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</si>
  <si>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</si>
  <si>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</si>
  <si>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</si>
  <si>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</si>
  <si>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</si>
  <si>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</si>
  <si>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</si>
  <si>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</si>
  <si>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</si>
  <si>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</si>
  <si>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</si>
  <si>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</si>
  <si>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</si>
  <si>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</si>
  <si>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</si>
  <si>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</si>
  <si>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</si>
  <si>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</si>
  <si>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</si>
  <si>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</si>
  <si>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</si>
  <si>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</si>
  <si>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</si>
  <si>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</si>
  <si>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</si>
  <si>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</si>
  <si>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</si>
  <si>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</si>
  <si>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</si>
  <si>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</si>
  <si>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</si>
  <si>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</si>
  <si>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</si>
  <si>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</si>
  <si>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</si>
  <si>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</si>
  <si>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</si>
  <si>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</si>
  <si>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</si>
  <si>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</si>
  <si>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</si>
  <si>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</si>
  <si>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</si>
  <si>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</si>
  <si>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</si>
  <si>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</si>
  <si>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</si>
  <si>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</si>
  <si>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</si>
  <si>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</si>
  <si>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</si>
  <si>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</si>
  <si>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</si>
  <si>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</si>
  <si>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</si>
  <si>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</si>
  <si>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</si>
  <si>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</si>
  <si>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</si>
  <si>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</si>
  <si>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</si>
  <si>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</si>
  <si>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</si>
  <si>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</si>
  <si>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</si>
  <si>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</si>
  <si>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</si>
  <si>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</si>
  <si>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</si>
  <si>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</si>
  <si>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</si>
  <si>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</si>
  <si>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</si>
  <si>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</si>
  <si>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</si>
  <si>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</si>
  <si>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</si>
  <si>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</si>
  <si>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</si>
  <si>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</si>
  <si>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</si>
  <si>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</si>
  <si>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</si>
  <si>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</si>
  <si>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</si>
  <si>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</si>
  <si>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</si>
  <si>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</si>
  <si>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</si>
  <si>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</si>
  <si>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</si>
  <si>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</si>
  <si>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</si>
  <si>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</si>
  <si>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</si>
  <si>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</si>
  <si>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</si>
  <si>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</si>
  <si>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</si>
  <si>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</si>
  <si>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</si>
  <si>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</si>
  <si>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</si>
  <si>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</si>
  <si>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</si>
  <si>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</si>
  <si>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</si>
  <si>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</si>
  <si>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</si>
  <si>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</si>
  <si>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</si>
  <si>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</si>
  <si>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</si>
  <si>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</si>
  <si>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</si>
  <si>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</si>
  <si>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</si>
  <si>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</si>
  <si>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</si>
  <si>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</si>
  <si>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</si>
  <si>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</si>
  <si>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</si>
  <si>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</si>
  <si>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</si>
  <si>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</si>
  <si>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</si>
  <si>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</si>
  <si>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</si>
  <si>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</si>
  <si>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</si>
  <si>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</si>
  <si>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</si>
  <si>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</si>
  <si>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</si>
  <si>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</si>
  <si>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</si>
  <si>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</si>
  <si>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</si>
  <si>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</si>
  <si>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</si>
  <si>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</si>
  <si>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</si>
  <si>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</si>
  <si>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</si>
  <si>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</si>
  <si>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</si>
  <si>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</si>
  <si>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</si>
  <si>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</si>
  <si>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</si>
  <si>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</si>
  <si>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</si>
  <si>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</si>
  <si>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</si>
  <si>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</si>
  <si>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</si>
  <si>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</si>
  <si>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</si>
  <si>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</si>
  <si>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</si>
  <si>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</si>
  <si>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</si>
  <si>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</si>
  <si>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</si>
  <si>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</si>
  <si>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</si>
  <si>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</si>
  <si>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</si>
  <si>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</si>
  <si>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</si>
  <si>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</si>
  <si>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</si>
  <si>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</si>
  <si>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</si>
  <si>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</si>
  <si>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</si>
  <si>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</si>
  <si>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</si>
  <si>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</si>
  <si>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</si>
  <si>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</si>
  <si>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</si>
  <si>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</si>
  <si>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</si>
  <si>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</si>
  <si>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</si>
  <si>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</si>
  <si>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</si>
  <si>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</si>
  <si>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</si>
  <si>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</si>
  <si>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</si>
  <si>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</si>
  <si>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</si>
  <si>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</si>
  <si>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</si>
  <si>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</si>
  <si>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</si>
  <si>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</si>
  <si>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</si>
  <si>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</si>
  <si>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</si>
  <si>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</si>
  <si>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</si>
  <si>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</si>
  <si>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</si>
  <si>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</si>
  <si>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</si>
  <si>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</si>
  <si>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</si>
  <si>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</si>
  <si>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</si>
  <si>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</si>
  <si>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</si>
  <si>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</si>
  <si>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</si>
  <si>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</si>
  <si>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</si>
  <si>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</si>
  <si>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</si>
  <si>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</si>
  <si>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</si>
  <si>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</si>
  <si>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</si>
  <si>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</si>
  <si>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</si>
  <si>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</si>
  <si>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</si>
  <si>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</si>
  <si>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</si>
  <si>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</si>
  <si>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</si>
  <si>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</si>
  <si>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</si>
  <si>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</si>
  <si>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</si>
  <si>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</si>
  <si>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</si>
  <si>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</si>
  <si>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</si>
  <si>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</si>
  <si>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</si>
  <si>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</si>
  <si>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</si>
  <si>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</si>
  <si>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</si>
  <si>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</si>
  <si>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</si>
  <si>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</si>
  <si>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</si>
  <si>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</si>
  <si>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</si>
  <si>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</si>
  <si>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</si>
  <si>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</si>
  <si>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</si>
  <si>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</si>
  <si>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</si>
  <si>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</si>
  <si>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</si>
  <si>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</si>
  <si>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</si>
  <si>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</si>
  <si>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</si>
  <si>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</si>
  <si>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</si>
  <si>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</si>
  <si>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</si>
  <si>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</si>
  <si>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</si>
  <si>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</si>
  <si>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</si>
  <si>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</si>
  <si>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</si>
  <si>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</si>
  <si>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</si>
  <si>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</si>
  <si>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</si>
  <si>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</si>
  <si>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</si>
  <si>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</si>
  <si>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</si>
  <si>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</si>
  <si>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</si>
  <si>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</si>
  <si>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</si>
  <si>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</si>
  <si>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</si>
  <si>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</si>
  <si>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</si>
  <si>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</si>
  <si>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</si>
  <si>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</si>
  <si>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</si>
  <si>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</si>
  <si>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</si>
  <si>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</si>
  <si>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</si>
  <si>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</si>
  <si>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</si>
  <si>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</si>
  <si>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</si>
  <si>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</si>
  <si>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</si>
  <si>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</si>
  <si>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</si>
  <si>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</si>
  <si>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</si>
  <si>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</si>
  <si>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</si>
  <si>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</si>
  <si>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</si>
  <si>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</si>
  <si>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</si>
  <si>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</si>
  <si>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</si>
  <si>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</si>
  <si>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</si>
  <si>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</si>
  <si>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</si>
  <si>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</si>
  <si>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</si>
  <si>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</si>
  <si>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</si>
  <si>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</si>
  <si>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</si>
  <si>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</si>
  <si>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</si>
  <si>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</si>
  <si>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</si>
  <si>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</si>
  <si>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</si>
  <si>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</si>
  <si>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</si>
  <si>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</si>
  <si>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</si>
  <si>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</si>
  <si>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</si>
  <si>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</si>
  <si>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</si>
  <si>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</si>
  <si>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</si>
  <si>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</si>
  <si>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</si>
  <si>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</si>
  <si>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</si>
  <si>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</si>
  <si>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</si>
  <si>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</si>
  <si>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</si>
  <si>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</si>
  <si>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</si>
  <si>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</si>
  <si>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</si>
  <si>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</si>
  <si>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</si>
  <si>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</si>
  <si>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</si>
  <si>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</si>
  <si>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</si>
  <si>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</si>
  <si>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</si>
  <si>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</si>
  <si>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</si>
  <si>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</si>
  <si>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</si>
  <si>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</si>
  <si>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DATA ANALYSIS &amp; SUMMARY</t>
  </si>
  <si>
    <t>Key Metric</t>
  </si>
  <si>
    <t>Result</t>
  </si>
  <si>
    <t>Total Revenue</t>
  </si>
  <si>
    <t>Grand Total</t>
  </si>
  <si>
    <t>Transactions</t>
  </si>
  <si>
    <t>Units Sold</t>
  </si>
  <si>
    <t>Average Transaction</t>
  </si>
  <si>
    <t>Unique Customers</t>
  </si>
  <si>
    <t>Regional Sales</t>
  </si>
  <si>
    <t>Sales by Category</t>
  </si>
  <si>
    <t>Revenue</t>
  </si>
  <si>
    <t>Units</t>
  </si>
  <si>
    <t>Observation</t>
  </si>
  <si>
    <t>Y Variable</t>
  </si>
  <si>
    <t>X Variable</t>
  </si>
  <si>
    <t>Regression Slope</t>
  </si>
  <si>
    <t>Intercept</t>
  </si>
  <si>
    <t>Product Performance</t>
  </si>
  <si>
    <t>Top Customers</t>
  </si>
  <si>
    <t>R Square</t>
  </si>
  <si>
    <t>Product</t>
  </si>
  <si>
    <t>Customer</t>
  </si>
  <si>
    <t>Correlation</t>
  </si>
  <si>
    <t>SCENARIO MANAGER &amp; GOAL SEEK</t>
  </si>
  <si>
    <t>Base Revenue</t>
  </si>
  <si>
    <t>Base Units Sold</t>
  </si>
  <si>
    <t>Scenario Comparison (discount impact)</t>
  </si>
  <si>
    <t>Scenario</t>
  </si>
  <si>
    <t>Discount Rate</t>
  </si>
  <si>
    <t>Estimated Net Revenue</t>
  </si>
  <si>
    <t>Difference vs Base</t>
  </si>
  <si>
    <t>Best Case</t>
  </si>
  <si>
    <t>Normal Case</t>
  </si>
  <si>
    <t>Worst Case</t>
  </si>
  <si>
    <t>Goal Seek Model</t>
  </si>
  <si>
    <t>Discount Rate (input)</t>
  </si>
  <si>
    <t>Calculated Net Revenue</t>
  </si>
  <si>
    <t>Target Net Revenue (input)</t>
  </si>
  <si>
    <t>Difference (Calculated - Target)</t>
  </si>
  <si>
    <t>PRODUCT FREQUENCY &amp; REPEATING CUSTOMER NAMES</t>
  </si>
  <si>
    <t>Purchase Count</t>
  </si>
  <si>
    <t>Customer Name</t>
  </si>
  <si>
    <t>Name Repeats</t>
  </si>
  <si>
    <t>COMPARE TWO LISTS — MATCHING NAMES</t>
  </si>
  <si>
    <t>List A (first 50 transactions)</t>
  </si>
  <si>
    <t>List B (transactions 101–150)</t>
  </si>
  <si>
    <t>Matching Name</t>
  </si>
  <si>
    <t>Match Status</t>
  </si>
  <si>
    <t>TEXT FUNCTIONS</t>
  </si>
  <si>
    <t>First Name</t>
  </si>
  <si>
    <t>Last Name</t>
  </si>
  <si>
    <t>Initials / Abbreviation</t>
  </si>
  <si>
    <t>VISUALIZATION DATA</t>
  </si>
  <si>
    <t>Month</t>
  </si>
  <si>
    <t>DATA INTELLIGENCE DASHBOARD</t>
  </si>
  <si>
    <t>TOTAL REVENUE</t>
  </si>
  <si>
    <t>TRANSACTIONS</t>
  </si>
  <si>
    <t>UNITS SOLD</t>
  </si>
  <si>
    <t>AVG TRANSACTION</t>
  </si>
  <si>
    <t>KEY INSIGHTS</t>
  </si>
  <si>
    <t>Top Customer</t>
  </si>
  <si>
    <t>Most Sold Product</t>
  </si>
  <si>
    <t>Top Region</t>
  </si>
  <si>
    <t>PROJECT INSIGHTS &amp; STORYTELLING</t>
  </si>
  <si>
    <t>Highest Revenue Region</t>
  </si>
  <si>
    <t>Top Revenue Product</t>
  </si>
  <si>
    <t>Most Frequently Purchased Product</t>
  </si>
  <si>
    <t>Highest Value Customer</t>
  </si>
  <si>
    <t>Storytelling Summary</t>
  </si>
  <si>
    <t>•The dashboard shows total sales, revenue, units sold and average transaction value.</t>
  </si>
  <si>
    <t>•The region and product charts help to understand which region and product perform better.</t>
  </si>
  <si>
    <t>• The monthly sales report shows changes in revenue over time.</t>
  </si>
  <si>
    <t>• The customer and product analysis helps identify regular customers and popular products.</t>
  </si>
  <si>
    <t xml:space="preserve"> </t>
  </si>
  <si>
    <t>REGRESSION SUMMARY</t>
  </si>
  <si>
    <t>PIVOT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</si>
</sst>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###,##0.00;[Red]\-###,##0.00"/>
    <numFmt numFmtId="166" formatCode="dd\-mmm\-yyyy\ hh:mm:ss"/>
    <numFmt numFmtId="167" formatCode="mmm\ yyyy"/>
    <numFmt numFmtId="169" formatCode="&quot;AED&quot;\ #,##0.00"/>
    <numFmt numFmtId="170" formatCode="0.0000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5"/>
      <color rgb="FFFFFFFF"/>
      <name val="Arial"/>
    </font>
    <font>
      <b/>
      <sz val="11"/>
      <color rgb="FFFFFFFF"/>
      <name val="Calibri"/>
    </font>
    <font>
      <b/>
      <sz val="15"/>
      <color rgb="FF1F4E78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color rgb="FF203040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7C9D6"/>
      </bottom>
      <diagonal/>
    </border>
    <border>
      <left/>
      <right/>
      <top/>
      <bottom style="hair">
        <color rgb="FFD9E2F3"/>
      </bottom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0" fontId="1" fillId="3" borderId="0" xfId="0" applyFont="1" applyFill="1"/>
    <xf numFmtId="0" fontId="0" fillId="4" borderId="0" xfId="0" applyFill="1"/>
    <xf numFmtId="0" fontId="1" fillId="2" borderId="0" xfId="0" applyFont="1" applyFill="1"/>
    <xf numFmtId="0" fontId="3" fillId="3" borderId="0" xfId="0" applyFont="1" applyFill="1" applyAlignment="1">
      <alignment horizontal="center"/>
    </xf>
    <xf numFmtId="1" fontId="4" fillId="4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5" fillId="6" borderId="0" xfId="0" applyFont="1" applyFill="1"/>
    <xf numFmtId="4" fontId="0" fillId="7" borderId="0" xfId="0" applyNumberFormat="1" applyFill="1"/>
    <xf numFmtId="0" fontId="9" fillId="6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vertical="center" wrapText="1"/>
    </xf>
    <xf numFmtId="40" fontId="0" fillId="0" borderId="3" xfId="0" applyNumberFormat="1" applyBorder="1" applyAlignment="1">
      <alignment vertical="center" wrapText="1"/>
    </xf>
    <xf numFmtId="0" fontId="5" fillId="6" borderId="0" xfId="0" applyFont="1" applyFill="1" applyAlignment="1">
      <alignment wrapText="1"/>
    </xf>
    <xf numFmtId="0" fontId="0" fillId="0" borderId="0" xfId="0"/>
    <xf numFmtId="165" fontId="0" fillId="0" borderId="0" xfId="0" applyNumberFormat="1"/>
    <xf numFmtId="166" fontId="0" fillId="0" borderId="0" xfId="0" applyNumberFormat="1"/>
    <xf numFmtId="165" fontId="0" fillId="4" borderId="0" xfId="0" applyNumberFormat="1" applyFill="1"/>
    <xf numFmtId="169" fontId="0" fillId="7" borderId="0" xfId="0" applyNumberFormat="1" applyFill="1"/>
    <xf numFmtId="169" fontId="0" fillId="0" borderId="3" xfId="0" applyNumberFormat="1" applyBorder="1" applyAlignment="1">
      <alignment vertical="center" wrapText="1"/>
    </xf>
    <xf numFmtId="9" fontId="0" fillId="8" borderId="2" xfId="0" applyNumberFormat="1" applyFill="1" applyBorder="1"/>
    <xf numFmtId="169" fontId="0" fillId="0" borderId="2" xfId="0" applyNumberFormat="1" applyBorder="1"/>
    <xf numFmtId="169" fontId="0" fillId="8" borderId="2" xfId="0" applyNumberFormat="1" applyFill="1" applyBorder="1"/>
    <xf numFmtId="165" fontId="1" fillId="3" borderId="0" xfId="0" applyNumberFormat="1" applyFont="1" applyFill="1"/>
    <xf numFmtId="167" fontId="0" fillId="0" borderId="0" xfId="0" applyNumberFormat="1"/>
    <xf numFmtId="165" fontId="3" fillId="3" borderId="0" xfId="0" applyNumberFormat="1" applyFont="1" applyFill="1" applyAlignment="1">
      <alignment horizontal="center"/>
    </xf>
    <xf numFmtId="165" fontId="4" fillId="4" borderId="0" xfId="0" applyNumberFormat="1" applyFont="1" applyFill="1" applyAlignment="1">
      <alignment horizontal="center"/>
    </xf>
    <xf numFmtId="0" fontId="11" fillId="10" borderId="0" xfId="0" applyFont="1" applyFill="1" applyAlignment="1">
      <alignment vertical="center" wrapText="1"/>
    </xf>
    <xf numFmtId="0" fontId="0" fillId="0" borderId="4" xfId="0" applyBorder="1"/>
    <xf numFmtId="0" fontId="0" fillId="0" borderId="4" xfId="0" applyBorder="1"/>
    <xf numFmtId="0" fontId="12" fillId="11" borderId="4" xfId="0" applyFont="1" applyFill="1" applyBorder="1"/>
    <xf numFmtId="0" fontId="12" fillId="11" borderId="4" xfId="0" applyFont="1" applyFill="1" applyBorder="1"/>
    <xf numFmtId="0" fontId="12" fillId="12" borderId="0" xfId="0" applyFont="1" applyFill="1"/>
    <xf numFmtId="170" fontId="0" fillId="0" borderId="0" xfId="0" applyNumberFormat="1"/>
    <xf numFmtId="0" fontId="1" fillId="5" borderId="0" xfId="0" applyFont="1" applyFill="1" applyAlignment="1">
      <alignment vertical="center"/>
    </xf>
    <xf numFmtId="0" fontId="0" fillId="0" borderId="0" xfId="0"/>
    <xf numFmtId="0" fontId="8" fillId="5" borderId="0" xfId="0" applyFont="1" applyFill="1" applyAlignment="1">
      <alignment vertical="center"/>
    </xf>
    <xf numFmtId="0" fontId="7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7" borderId="0" xfId="0" applyFill="1" applyAlignment="1">
      <alignment wrapText="1"/>
    </xf>
    <xf numFmtId="0" fontId="10" fillId="5" borderId="0" xfId="0" applyFont="1" applyFill="1" applyAlignment="1">
      <alignment horizontal="center"/>
    </xf>
    <xf numFmtId="0" fontId="6" fillId="5" borderId="0" xfId="0" applyFont="1" applyFill="1"/>
    <xf numFmtId="0" fontId="10" fillId="9" borderId="0" xfId="0" applyFont="1" applyFill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Analysis!$B$12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Analysis!$A$13:$A$17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Analysis!$B$13:$B$17</c:f>
              <c:numCache>
                <c:formatCode>###,##0.00;[Red]\-###,##0.00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7-43D9-A861-8FF6084A9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###,##0.00;[Red]\-##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Visualizations!$B$3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Visualizations!$A$4:$A$16</c:f>
              <c:numCache>
                <c:formatCode>mmm\ 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Visualizations!$B$4:$B$16</c:f>
              <c:numCache>
                <c:formatCode>###,##0.00;[Red]\-###,##0.00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1C-4B88-B5FA-73635B6AC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###,##0.00;[Red]\-##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Visualizations!$E$3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Visualizations!$D$4:$D$6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Visualizations!$E$4:$E$6</c:f>
              <c:numCache>
                <c:formatCode>###,##0.00;[Red]\-###,##0.00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5-4BFD-8209-335B6B8CA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20</xdr:row>
      <xdr:rowOff>9525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57150</xdr:colOff>
      <xdr:row>20</xdr:row>
      <xdr:rowOff>9525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95250</xdr:colOff>
      <xdr:row>19</xdr:row>
      <xdr:rowOff>180975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3"/>
  <sheetViews>
    <sheetView showGridLines="0" workbookViewId="0">
      <pane ySplit="2" topLeftCell="A3" activePane="bottomLeft" state="frozen"/>
      <selection pane="bottomLeft" activeCell="I44" sqref="I44"/>
    </sheetView>
  </sheetViews>
  <sheetFormatPr defaultRowHeight="15" x14ac:dyDescent="0.25"/>
  <cols>
    <col min="1" max="1" width="15.42578125" style="16" bestFit="1" customWidth="1"/>
    <col min="2" max="12" width="15" style="16" customWidth="1"/>
  </cols>
  <sheetData>
    <row r="1" spans="1:12" ht="19.5" customHeight="1" x14ac:dyDescent="0.3">
      <c r="A1" s="40" t="s">
        <v>458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3" spans="1:12" x14ac:dyDescent="0.25">
      <c r="A3" s="27" t="s">
        <v>459</v>
      </c>
      <c r="D3" s="6" t="s">
        <v>460</v>
      </c>
      <c r="G3" s="6" t="s">
        <v>461</v>
      </c>
      <c r="J3" s="27" t="s">
        <v>462</v>
      </c>
    </row>
    <row r="4" spans="1:12" ht="19.5" customHeight="1" x14ac:dyDescent="0.3">
      <c r="A4" s="28">
        <f>SUM('Raw Data'!N2:N251)</f>
        <v>229192.47000000032</v>
      </c>
      <c r="D4" s="7">
        <f>COUNTA('Raw Data'!A2:A251)</f>
        <v>250</v>
      </c>
      <c r="G4" s="7">
        <f>SUM('Raw Data'!H2:H251)</f>
        <v>753</v>
      </c>
      <c r="J4" s="28">
        <f>AVERAGE('Raw Data'!N2:N251)</f>
        <v>916.76988000000131</v>
      </c>
    </row>
    <row r="6" spans="1:12" x14ac:dyDescent="0.25">
      <c r="J6" s="5" t="s">
        <v>463</v>
      </c>
    </row>
    <row r="7" spans="1:12" x14ac:dyDescent="0.25">
      <c r="J7" t="s">
        <v>464</v>
      </c>
      <c r="K7" s="4" t="str">
        <f>INDEX(Analysis!E22:E71,MATCH(MAX(Analysis!F22:F71),Analysis!F22:F71,0))</f>
        <v>Mark Carter</v>
      </c>
    </row>
    <row r="8" spans="1:12" x14ac:dyDescent="0.25">
      <c r="J8" t="s">
        <v>465</v>
      </c>
      <c r="K8" s="4" t="str">
        <f>INDEX(Analysis!A22:A31,MATCH(MAX(Analysis!B22:B31),Analysis!B22:B31,0))</f>
        <v>Bookshelf</v>
      </c>
    </row>
    <row r="9" spans="1:12" x14ac:dyDescent="0.25">
      <c r="J9" t="s">
        <v>466</v>
      </c>
      <c r="K9" s="4" t="str">
        <f>INDEX(Analysis!A13:A17,MATCH(MAX(Analysis!B13:B17),Analysis!B13:B17,0))</f>
        <v>East</v>
      </c>
    </row>
    <row r="21" spans="1:12" ht="30" customHeight="1" x14ac:dyDescent="0.25"/>
    <row r="22" spans="1:12" ht="30" customHeight="1" x14ac:dyDescent="0.25"/>
    <row r="23" spans="1:12" ht="30" customHeight="1" x14ac:dyDescent="0.25"/>
    <row r="24" spans="1:12" ht="30" customHeight="1" x14ac:dyDescent="0.25"/>
    <row r="32" spans="1:12" ht="15.75" customHeight="1" x14ac:dyDescent="0.25">
      <c r="A32" s="43" t="s">
        <v>467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</row>
    <row r="34" spans="1:12" ht="45" customHeight="1" x14ac:dyDescent="0.25">
      <c r="A34" s="15" t="s">
        <v>468</v>
      </c>
      <c r="D34" s="42" t="str">
        <f>INDEX(Analysis!A13:A17,MATCH(MAX(Analysis!B13:B17),Analysis!B13:B17,0))</f>
        <v>East</v>
      </c>
      <c r="E34" s="37"/>
      <c r="F34" s="37"/>
      <c r="G34" s="37"/>
    </row>
    <row r="35" spans="1:12" ht="30" customHeight="1" x14ac:dyDescent="0.25">
      <c r="A35" s="15" t="s">
        <v>469</v>
      </c>
      <c r="D35" s="42" t="str">
        <f>INDEX(Analysis!A22:A31,MATCH(MAX(Analysis!C22:C31),Analysis!C22:C31,0))</f>
        <v>Laptop</v>
      </c>
      <c r="E35" s="37"/>
      <c r="F35" s="37"/>
      <c r="G35" s="37"/>
    </row>
    <row r="36" spans="1:12" ht="60" customHeight="1" x14ac:dyDescent="0.25">
      <c r="A36" s="15" t="s">
        <v>470</v>
      </c>
      <c r="D36" s="42" t="str">
        <f>INDEX(Analysis!A94:A103,MATCH(MAX(Analysis!C94:C103),Analysis!C94:C103,0))</f>
        <v>Bookshelf</v>
      </c>
      <c r="E36" s="37"/>
      <c r="F36" s="37"/>
      <c r="G36" s="37"/>
    </row>
    <row r="37" spans="1:12" ht="30" customHeight="1" x14ac:dyDescent="0.25">
      <c r="A37" s="15" t="s">
        <v>471</v>
      </c>
      <c r="D37" s="42" t="str">
        <f>INDEX(Analysis!E22:E71,MATCH(MAX(Analysis!F22:F71),Analysis!F22:F71,0))</f>
        <v>Mark Carter</v>
      </c>
      <c r="E37" s="37"/>
      <c r="F37" s="37"/>
      <c r="G37" s="37"/>
    </row>
    <row r="39" spans="1:12" x14ac:dyDescent="0.25">
      <c r="A39" s="44" t="s">
        <v>472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</row>
    <row r="40" spans="1:12" x14ac:dyDescent="0.25">
      <c r="A40" s="41" t="s">
        <v>473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</row>
    <row r="41" spans="1:12" x14ac:dyDescent="0.25">
      <c r="A41" s="41" t="s">
        <v>474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</row>
    <row r="42" spans="1:12" x14ac:dyDescent="0.25">
      <c r="A42" s="41" t="s">
        <v>475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</row>
    <row r="43" spans="1:12" x14ac:dyDescent="0.25">
      <c r="A43" s="41" t="s">
        <v>476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</sheetData>
  <mergeCells count="11">
    <mergeCell ref="A1:L1"/>
    <mergeCell ref="A32:L32"/>
    <mergeCell ref="A40:L40"/>
    <mergeCell ref="D34:G34"/>
    <mergeCell ref="D37:G37"/>
    <mergeCell ref="A39:L39"/>
    <mergeCell ref="A42:L42"/>
    <mergeCell ref="A43:L43"/>
    <mergeCell ref="A41:L41"/>
    <mergeCell ref="D35:G35"/>
    <mergeCell ref="D36:G36"/>
  </mergeCells>
  <conditionalFormatting sqref="A4">
    <cfRule type="dataBar" priority="1">
      <dataBar>
        <cfvo type="num" val="0"/>
        <cfvo type="max"/>
        <color rgb="FF63C384"/>
      </dataBar>
    </cfRule>
  </conditionalFormatting>
  <conditionalFormatting sqref="D4">
    <cfRule type="dataBar" priority="2">
      <dataBar>
        <cfvo type="num" val="0"/>
        <cfvo type="max"/>
        <color rgb="FF5B9BD5"/>
      </dataBar>
    </cfRule>
  </conditionalFormatting>
  <conditionalFormatting sqref="G4">
    <cfRule type="dataBar" priority="3">
      <dataBar>
        <cfvo type="num" val="0"/>
        <cfvo type="max"/>
        <color rgb="FFEDC66A"/>
      </dataBar>
    </cfRule>
  </conditionalFormatting>
  <conditionalFormatting sqref="J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1" bottom="1" header="0.5" footer="0.5"/>
  <pageSetup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51"/>
  <sheetViews>
    <sheetView topLeftCell="B1" workbookViewId="0">
      <pane ySplit="1" topLeftCell="A2" activePane="bottomLeft" state="frozen"/>
      <selection pane="bottomLeft" activeCell="K17" sqref="K17"/>
    </sheetView>
  </sheetViews>
  <sheetFormatPr defaultRowHeight="15" x14ac:dyDescent="0.25"/>
  <cols>
    <col min="1" max="1" width="16" style="16" customWidth="1"/>
    <col min="2" max="2" width="12" style="16" customWidth="1"/>
    <col min="3" max="3" width="13" style="16" customWidth="1"/>
    <col min="4" max="4" width="18" style="16" customWidth="1"/>
    <col min="5" max="5" width="12" style="16" customWidth="1"/>
    <col min="6" max="6" width="14" style="16" customWidth="1"/>
    <col min="7" max="7" width="13" style="16" customWidth="1"/>
    <col min="8" max="9" width="12" style="16" customWidth="1"/>
    <col min="10" max="10" width="16" style="16" customWidth="1"/>
    <col min="11" max="11" width="12" style="16" customWidth="1"/>
    <col min="12" max="12" width="18" style="16" customWidth="1"/>
    <col min="13" max="13" width="16" style="16" customWidth="1"/>
    <col min="14" max="14" width="14" style="16" customWidth="1"/>
    <col min="15" max="15" width="24" style="16" customWidth="1"/>
    <col min="16" max="16" width="17" style="16" customWidth="1"/>
    <col min="17" max="17" width="24" style="16" customWidth="1"/>
    <col min="18" max="18" width="23" style="16" customWidth="1"/>
  </cols>
  <sheetData>
    <row r="1" spans="1:1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8" t="s">
        <v>17</v>
      </c>
    </row>
    <row r="2" spans="1:18" x14ac:dyDescent="0.25">
      <c r="A2" t="s">
        <v>18</v>
      </c>
      <c r="B2" s="2">
        <v>45393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3</v>
      </c>
      <c r="I2" s="17">
        <v>249.99</v>
      </c>
      <c r="J2" t="s">
        <v>24</v>
      </c>
      <c r="K2" t="s">
        <v>25</v>
      </c>
      <c r="L2" t="s">
        <v>26</v>
      </c>
      <c r="M2" s="2">
        <v>44425</v>
      </c>
      <c r="N2" s="17">
        <v>749.97</v>
      </c>
      <c r="O2">
        <f t="shared" ref="O2:O65" ca="1" si="0">IFERROR(DATEDIF(M2,TODAY(),"Y"),0)</f>
        <v>5</v>
      </c>
      <c r="P2" s="2">
        <f t="shared" ref="P2:P65" si="1">EOMONTH(B2,0)</f>
        <v>45412</v>
      </c>
      <c r="Q2" t="str">
        <f t="shared" ref="Q2:Q65" si="2">IF(ABS(N2-H2*I2)&lt;1,"OK","Check")</f>
        <v>OK</v>
      </c>
      <c r="R2" s="18">
        <f t="shared" ref="R2:R65" ca="1" si="3">IF(A2&lt;&gt;"",NOW(),"")</f>
        <v>46310.670810300922</v>
      </c>
    </row>
    <row r="3" spans="1:18" x14ac:dyDescent="0.25">
      <c r="A3" t="s">
        <v>27</v>
      </c>
      <c r="B3" s="2">
        <v>45396</v>
      </c>
      <c r="C3" t="s">
        <v>28</v>
      </c>
      <c r="D3" t="s">
        <v>29</v>
      </c>
      <c r="E3" t="s">
        <v>21</v>
      </c>
      <c r="F3" t="s">
        <v>22</v>
      </c>
      <c r="G3" t="s">
        <v>23</v>
      </c>
      <c r="H3">
        <v>3</v>
      </c>
      <c r="I3" s="17">
        <v>249.99</v>
      </c>
      <c r="J3" t="s">
        <v>30</v>
      </c>
      <c r="K3" t="s">
        <v>25</v>
      </c>
      <c r="L3" t="s">
        <v>31</v>
      </c>
      <c r="M3" s="2">
        <v>44575</v>
      </c>
      <c r="N3" s="17">
        <v>749.97</v>
      </c>
      <c r="O3">
        <f t="shared" ca="1" si="0"/>
        <v>4</v>
      </c>
      <c r="P3" s="2">
        <f t="shared" si="1"/>
        <v>45412</v>
      </c>
      <c r="Q3" t="str">
        <f t="shared" si="2"/>
        <v>OK</v>
      </c>
      <c r="R3" s="18">
        <f t="shared" ca="1" si="3"/>
        <v>46310.670810300922</v>
      </c>
    </row>
    <row r="4" spans="1:18" x14ac:dyDescent="0.25">
      <c r="A4" t="s">
        <v>32</v>
      </c>
      <c r="B4" s="2">
        <v>45399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>
        <v>3</v>
      </c>
      <c r="I4" s="17">
        <v>59.99</v>
      </c>
      <c r="J4" t="s">
        <v>38</v>
      </c>
      <c r="K4" t="s">
        <v>39</v>
      </c>
      <c r="L4" t="s">
        <v>40</v>
      </c>
      <c r="M4" s="2">
        <v>45262</v>
      </c>
      <c r="N4" s="17">
        <v>179.97</v>
      </c>
      <c r="O4">
        <f t="shared" ca="1" si="0"/>
        <v>2</v>
      </c>
      <c r="P4" s="2">
        <f t="shared" si="1"/>
        <v>45412</v>
      </c>
      <c r="Q4" t="str">
        <f t="shared" si="2"/>
        <v>OK</v>
      </c>
      <c r="R4" s="18">
        <f t="shared" ca="1" si="3"/>
        <v>46310.670810300922</v>
      </c>
    </row>
    <row r="5" spans="1:18" x14ac:dyDescent="0.25">
      <c r="A5" t="s">
        <v>41</v>
      </c>
      <c r="B5" s="2">
        <v>45400</v>
      </c>
      <c r="C5" t="s">
        <v>42</v>
      </c>
      <c r="D5" t="s">
        <v>43</v>
      </c>
      <c r="E5" t="s">
        <v>35</v>
      </c>
      <c r="F5" t="s">
        <v>36</v>
      </c>
      <c r="G5" t="s">
        <v>37</v>
      </c>
      <c r="H5">
        <v>3</v>
      </c>
      <c r="I5" s="17">
        <v>59.99</v>
      </c>
      <c r="J5" t="s">
        <v>24</v>
      </c>
      <c r="K5" t="s">
        <v>44</v>
      </c>
      <c r="L5" t="s">
        <v>31</v>
      </c>
      <c r="M5" s="2">
        <v>45114</v>
      </c>
      <c r="N5" s="17">
        <v>179.97</v>
      </c>
      <c r="O5">
        <f t="shared" ca="1" si="0"/>
        <v>3</v>
      </c>
      <c r="P5" s="2">
        <f t="shared" si="1"/>
        <v>45412</v>
      </c>
      <c r="Q5" t="str">
        <f t="shared" si="2"/>
        <v>OK</v>
      </c>
      <c r="R5" s="18">
        <f t="shared" ca="1" si="3"/>
        <v>46310.670810300922</v>
      </c>
    </row>
    <row r="6" spans="1:18" x14ac:dyDescent="0.25">
      <c r="A6" t="s">
        <v>45</v>
      </c>
      <c r="B6" s="2">
        <v>45400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>
        <v>5</v>
      </c>
      <c r="I6" s="17">
        <v>149.99</v>
      </c>
      <c r="J6" t="s">
        <v>30</v>
      </c>
      <c r="K6" t="s">
        <v>44</v>
      </c>
      <c r="L6" t="s">
        <v>31</v>
      </c>
      <c r="M6" s="2">
        <v>45295</v>
      </c>
      <c r="N6" s="17">
        <v>749.95</v>
      </c>
      <c r="O6">
        <f t="shared" ca="1" si="0"/>
        <v>2</v>
      </c>
      <c r="P6" s="2">
        <f t="shared" si="1"/>
        <v>45412</v>
      </c>
      <c r="Q6" t="str">
        <f t="shared" si="2"/>
        <v>OK</v>
      </c>
      <c r="R6" s="18">
        <f t="shared" ca="1" si="3"/>
        <v>46310.670810300922</v>
      </c>
    </row>
    <row r="7" spans="1:18" x14ac:dyDescent="0.25">
      <c r="A7" t="s">
        <v>51</v>
      </c>
      <c r="B7" s="2">
        <v>45403</v>
      </c>
      <c r="C7" t="s">
        <v>52</v>
      </c>
      <c r="D7" t="s">
        <v>53</v>
      </c>
      <c r="E7" t="s">
        <v>35</v>
      </c>
      <c r="F7" t="s">
        <v>36</v>
      </c>
      <c r="G7" t="s">
        <v>37</v>
      </c>
      <c r="H7">
        <v>2</v>
      </c>
      <c r="I7" s="17">
        <v>59.99</v>
      </c>
      <c r="J7" t="s">
        <v>24</v>
      </c>
      <c r="K7" t="s">
        <v>54</v>
      </c>
      <c r="L7" t="s">
        <v>40</v>
      </c>
      <c r="M7" s="2">
        <v>44746</v>
      </c>
      <c r="N7" s="17">
        <v>119.98</v>
      </c>
      <c r="O7">
        <f t="shared" ca="1" si="0"/>
        <v>4</v>
      </c>
      <c r="P7" s="2">
        <f t="shared" si="1"/>
        <v>45412</v>
      </c>
      <c r="Q7" t="str">
        <f t="shared" si="2"/>
        <v>OK</v>
      </c>
      <c r="R7" s="18">
        <f t="shared" ca="1" si="3"/>
        <v>46310.670810300922</v>
      </c>
    </row>
    <row r="8" spans="1:18" x14ac:dyDescent="0.25">
      <c r="A8" t="s">
        <v>55</v>
      </c>
      <c r="B8" s="2">
        <v>45403</v>
      </c>
      <c r="C8" t="s">
        <v>52</v>
      </c>
      <c r="D8" t="s">
        <v>53</v>
      </c>
      <c r="E8" t="s">
        <v>56</v>
      </c>
      <c r="F8" t="s">
        <v>57</v>
      </c>
      <c r="G8" t="s">
        <v>23</v>
      </c>
      <c r="H8">
        <v>5</v>
      </c>
      <c r="I8" s="17">
        <v>149.99</v>
      </c>
      <c r="J8" t="s">
        <v>30</v>
      </c>
      <c r="K8" t="s">
        <v>25</v>
      </c>
      <c r="L8" t="s">
        <v>40</v>
      </c>
      <c r="M8" s="2">
        <v>44418</v>
      </c>
      <c r="N8" s="17">
        <v>749.95</v>
      </c>
      <c r="O8">
        <f t="shared" ca="1" si="0"/>
        <v>5</v>
      </c>
      <c r="P8" s="2">
        <f t="shared" si="1"/>
        <v>45412</v>
      </c>
      <c r="Q8" t="str">
        <f t="shared" si="2"/>
        <v>OK</v>
      </c>
      <c r="R8" s="18">
        <f t="shared" ca="1" si="3"/>
        <v>46310.670810300922</v>
      </c>
    </row>
    <row r="9" spans="1:18" x14ac:dyDescent="0.25">
      <c r="A9" t="s">
        <v>58</v>
      </c>
      <c r="B9" s="2">
        <v>45403</v>
      </c>
      <c r="C9" t="s">
        <v>59</v>
      </c>
      <c r="D9" t="s">
        <v>60</v>
      </c>
      <c r="E9" t="s">
        <v>35</v>
      </c>
      <c r="F9" t="s">
        <v>36</v>
      </c>
      <c r="G9" t="s">
        <v>37</v>
      </c>
      <c r="H9">
        <v>3</v>
      </c>
      <c r="I9" s="17">
        <v>59.99</v>
      </c>
      <c r="J9" t="s">
        <v>61</v>
      </c>
      <c r="K9" t="s">
        <v>39</v>
      </c>
      <c r="L9" t="s">
        <v>26</v>
      </c>
      <c r="M9" s="2">
        <v>45007</v>
      </c>
      <c r="N9" s="17">
        <v>179.97</v>
      </c>
      <c r="O9">
        <f t="shared" ca="1" si="0"/>
        <v>3</v>
      </c>
      <c r="P9" s="2">
        <f t="shared" si="1"/>
        <v>45412</v>
      </c>
      <c r="Q9" t="str">
        <f t="shared" si="2"/>
        <v>OK</v>
      </c>
      <c r="R9" s="18">
        <f t="shared" ca="1" si="3"/>
        <v>46310.670810300922</v>
      </c>
    </row>
    <row r="10" spans="1:18" x14ac:dyDescent="0.25">
      <c r="A10" t="s">
        <v>62</v>
      </c>
      <c r="B10" s="2">
        <v>45405</v>
      </c>
      <c r="C10" t="s">
        <v>63</v>
      </c>
      <c r="D10" t="s">
        <v>64</v>
      </c>
      <c r="E10" t="s">
        <v>65</v>
      </c>
      <c r="F10" t="s">
        <v>66</v>
      </c>
      <c r="G10" t="s">
        <v>23</v>
      </c>
      <c r="H10">
        <v>3</v>
      </c>
      <c r="I10" s="17">
        <v>899.99</v>
      </c>
      <c r="J10" t="s">
        <v>38</v>
      </c>
      <c r="K10" t="s">
        <v>67</v>
      </c>
      <c r="L10" t="s">
        <v>40</v>
      </c>
      <c r="M10" s="2">
        <v>45299</v>
      </c>
      <c r="N10" s="17">
        <v>2699.97</v>
      </c>
      <c r="O10">
        <f t="shared" ca="1" si="0"/>
        <v>2</v>
      </c>
      <c r="P10" s="2">
        <f t="shared" si="1"/>
        <v>45412</v>
      </c>
      <c r="Q10" t="str">
        <f t="shared" si="2"/>
        <v>OK</v>
      </c>
      <c r="R10" s="18">
        <f t="shared" ca="1" si="3"/>
        <v>46310.670810300922</v>
      </c>
    </row>
    <row r="11" spans="1:18" x14ac:dyDescent="0.25">
      <c r="A11" t="s">
        <v>68</v>
      </c>
      <c r="B11" s="2">
        <v>45408</v>
      </c>
      <c r="C11" t="s">
        <v>69</v>
      </c>
      <c r="D11" t="s">
        <v>70</v>
      </c>
      <c r="E11" t="s">
        <v>35</v>
      </c>
      <c r="F11" t="s">
        <v>36</v>
      </c>
      <c r="G11" t="s">
        <v>37</v>
      </c>
      <c r="H11">
        <v>3</v>
      </c>
      <c r="I11" s="17">
        <v>59.99</v>
      </c>
      <c r="J11" t="s">
        <v>24</v>
      </c>
      <c r="K11" t="s">
        <v>54</v>
      </c>
      <c r="L11" t="s">
        <v>31</v>
      </c>
      <c r="M11" s="2">
        <v>45207</v>
      </c>
      <c r="N11" s="17">
        <v>179.97</v>
      </c>
      <c r="O11">
        <f t="shared" ca="1" si="0"/>
        <v>3</v>
      </c>
      <c r="P11" s="2">
        <f t="shared" si="1"/>
        <v>45412</v>
      </c>
      <c r="Q11" t="str">
        <f t="shared" si="2"/>
        <v>OK</v>
      </c>
      <c r="R11" s="18">
        <f t="shared" ca="1" si="3"/>
        <v>46310.670810300922</v>
      </c>
    </row>
    <row r="12" spans="1:18" x14ac:dyDescent="0.25">
      <c r="A12" t="s">
        <v>71</v>
      </c>
      <c r="B12" s="2">
        <v>45408</v>
      </c>
      <c r="C12" t="s">
        <v>72</v>
      </c>
      <c r="D12" t="s">
        <v>73</v>
      </c>
      <c r="E12" t="s">
        <v>48</v>
      </c>
      <c r="F12" t="s">
        <v>49</v>
      </c>
      <c r="G12" t="s">
        <v>50</v>
      </c>
      <c r="H12">
        <v>1</v>
      </c>
      <c r="I12" s="17">
        <v>149.99</v>
      </c>
      <c r="J12" t="s">
        <v>30</v>
      </c>
      <c r="K12" t="s">
        <v>54</v>
      </c>
      <c r="L12" t="s">
        <v>40</v>
      </c>
      <c r="M12" s="2">
        <v>45103</v>
      </c>
      <c r="N12" s="17">
        <v>149.99</v>
      </c>
      <c r="O12">
        <f t="shared" ca="1" si="0"/>
        <v>3</v>
      </c>
      <c r="P12" s="2">
        <f t="shared" si="1"/>
        <v>45412</v>
      </c>
      <c r="Q12" t="str">
        <f t="shared" si="2"/>
        <v>OK</v>
      </c>
      <c r="R12" s="18">
        <f t="shared" ca="1" si="3"/>
        <v>46310.670810300922</v>
      </c>
    </row>
    <row r="13" spans="1:18" x14ac:dyDescent="0.25">
      <c r="A13" t="s">
        <v>74</v>
      </c>
      <c r="B13" s="2">
        <v>45408</v>
      </c>
      <c r="C13" t="s">
        <v>42</v>
      </c>
      <c r="D13" t="s">
        <v>43</v>
      </c>
      <c r="E13" t="s">
        <v>48</v>
      </c>
      <c r="F13" t="s">
        <v>49</v>
      </c>
      <c r="G13" t="s">
        <v>50</v>
      </c>
      <c r="H13">
        <v>5</v>
      </c>
      <c r="I13" s="17">
        <v>149.99</v>
      </c>
      <c r="J13" t="s">
        <v>61</v>
      </c>
      <c r="K13" t="s">
        <v>44</v>
      </c>
      <c r="L13" t="s">
        <v>26</v>
      </c>
      <c r="M13" s="2">
        <v>44830</v>
      </c>
      <c r="N13" s="17">
        <v>749.95</v>
      </c>
      <c r="O13">
        <f t="shared" ca="1" si="0"/>
        <v>4</v>
      </c>
      <c r="P13" s="2">
        <f t="shared" si="1"/>
        <v>45412</v>
      </c>
      <c r="Q13" t="str">
        <f t="shared" si="2"/>
        <v>OK</v>
      </c>
      <c r="R13" s="18">
        <f t="shared" ca="1" si="3"/>
        <v>46310.670810300922</v>
      </c>
    </row>
    <row r="14" spans="1:18" x14ac:dyDescent="0.25">
      <c r="A14" t="s">
        <v>75</v>
      </c>
      <c r="B14" s="2">
        <v>45408</v>
      </c>
      <c r="C14" t="s">
        <v>76</v>
      </c>
      <c r="D14" t="s">
        <v>77</v>
      </c>
      <c r="E14" t="s">
        <v>48</v>
      </c>
      <c r="F14" t="s">
        <v>49</v>
      </c>
      <c r="G14" t="s">
        <v>50</v>
      </c>
      <c r="H14">
        <v>3</v>
      </c>
      <c r="I14" s="17">
        <v>149.99</v>
      </c>
      <c r="J14" t="s">
        <v>24</v>
      </c>
      <c r="K14" t="s">
        <v>44</v>
      </c>
      <c r="L14" t="s">
        <v>31</v>
      </c>
      <c r="M14" s="2">
        <v>44806</v>
      </c>
      <c r="N14" s="17">
        <v>449.97</v>
      </c>
      <c r="O14">
        <f t="shared" ca="1" si="0"/>
        <v>4</v>
      </c>
      <c r="P14" s="2">
        <f t="shared" si="1"/>
        <v>45412</v>
      </c>
      <c r="Q14" t="str">
        <f t="shared" si="2"/>
        <v>OK</v>
      </c>
      <c r="R14" s="18">
        <f t="shared" ca="1" si="3"/>
        <v>46310.670810300922</v>
      </c>
    </row>
    <row r="15" spans="1:18" x14ac:dyDescent="0.25">
      <c r="A15" t="s">
        <v>78</v>
      </c>
      <c r="B15" s="2">
        <v>45409</v>
      </c>
      <c r="C15" t="s">
        <v>79</v>
      </c>
      <c r="D15" t="s">
        <v>80</v>
      </c>
      <c r="E15" t="s">
        <v>35</v>
      </c>
      <c r="F15" t="s">
        <v>36</v>
      </c>
      <c r="G15" t="s">
        <v>37</v>
      </c>
      <c r="H15">
        <v>3</v>
      </c>
      <c r="I15" s="17">
        <v>59.99</v>
      </c>
      <c r="J15" t="s">
        <v>30</v>
      </c>
      <c r="K15" t="s">
        <v>44</v>
      </c>
      <c r="L15" t="s">
        <v>40</v>
      </c>
      <c r="M15" s="2">
        <v>45351</v>
      </c>
      <c r="N15" s="17">
        <v>179.97</v>
      </c>
      <c r="O15">
        <f t="shared" ca="1" si="0"/>
        <v>2</v>
      </c>
      <c r="P15" s="2">
        <f t="shared" si="1"/>
        <v>45412</v>
      </c>
      <c r="Q15" t="str">
        <f t="shared" si="2"/>
        <v>OK</v>
      </c>
      <c r="R15" s="18">
        <f t="shared" ca="1" si="3"/>
        <v>46310.670810300922</v>
      </c>
    </row>
    <row r="16" spans="1:18" x14ac:dyDescent="0.25">
      <c r="A16" t="s">
        <v>81</v>
      </c>
      <c r="B16" s="2">
        <v>45409</v>
      </c>
      <c r="C16" t="s">
        <v>82</v>
      </c>
      <c r="D16" t="s">
        <v>83</v>
      </c>
      <c r="E16" t="s">
        <v>84</v>
      </c>
      <c r="F16" t="s">
        <v>85</v>
      </c>
      <c r="G16" t="s">
        <v>23</v>
      </c>
      <c r="H16">
        <v>3</v>
      </c>
      <c r="I16" s="17">
        <v>699.99</v>
      </c>
      <c r="J16" t="s">
        <v>30</v>
      </c>
      <c r="K16" t="s">
        <v>54</v>
      </c>
      <c r="L16" t="s">
        <v>26</v>
      </c>
      <c r="M16" s="2">
        <v>44577</v>
      </c>
      <c r="N16" s="17">
        <v>2099.9699999999998</v>
      </c>
      <c r="O16">
        <f t="shared" ca="1" si="0"/>
        <v>4</v>
      </c>
      <c r="P16" s="2">
        <f t="shared" si="1"/>
        <v>45412</v>
      </c>
      <c r="Q16" t="str">
        <f t="shared" si="2"/>
        <v>OK</v>
      </c>
      <c r="R16" s="18">
        <f t="shared" ca="1" si="3"/>
        <v>46310.670810300922</v>
      </c>
    </row>
    <row r="17" spans="1:18" x14ac:dyDescent="0.25">
      <c r="A17" t="s">
        <v>86</v>
      </c>
      <c r="B17" s="2">
        <v>45409</v>
      </c>
      <c r="C17" t="s">
        <v>87</v>
      </c>
      <c r="D17" t="s">
        <v>88</v>
      </c>
      <c r="E17" t="s">
        <v>65</v>
      </c>
      <c r="F17" t="s">
        <v>66</v>
      </c>
      <c r="G17" t="s">
        <v>23</v>
      </c>
      <c r="H17">
        <v>1</v>
      </c>
      <c r="I17" s="17">
        <v>899.99</v>
      </c>
      <c r="J17" t="s">
        <v>61</v>
      </c>
      <c r="K17" t="s">
        <v>44</v>
      </c>
      <c r="L17" t="s">
        <v>40</v>
      </c>
      <c r="M17" s="2">
        <v>44920</v>
      </c>
      <c r="N17" s="17">
        <v>899.99</v>
      </c>
      <c r="O17">
        <f t="shared" ca="1" si="0"/>
        <v>3</v>
      </c>
      <c r="P17" s="2">
        <f t="shared" si="1"/>
        <v>45412</v>
      </c>
      <c r="Q17" t="str">
        <f t="shared" si="2"/>
        <v>OK</v>
      </c>
      <c r="R17" s="18">
        <f t="shared" ca="1" si="3"/>
        <v>46310.670810300922</v>
      </c>
    </row>
    <row r="18" spans="1:18" x14ac:dyDescent="0.25">
      <c r="A18" t="s">
        <v>89</v>
      </c>
      <c r="B18" s="2">
        <v>45410</v>
      </c>
      <c r="C18" t="s">
        <v>90</v>
      </c>
      <c r="D18" t="s">
        <v>91</v>
      </c>
      <c r="E18" t="s">
        <v>48</v>
      </c>
      <c r="F18" t="s">
        <v>49</v>
      </c>
      <c r="G18" t="s">
        <v>50</v>
      </c>
      <c r="H18">
        <v>4</v>
      </c>
      <c r="I18" s="17">
        <v>149.99</v>
      </c>
      <c r="J18" t="s">
        <v>61</v>
      </c>
      <c r="K18" t="s">
        <v>44</v>
      </c>
      <c r="L18" t="s">
        <v>31</v>
      </c>
      <c r="M18" s="2">
        <v>45374</v>
      </c>
      <c r="N18" s="17">
        <v>599.96</v>
      </c>
      <c r="O18">
        <f t="shared" ca="1" si="0"/>
        <v>2</v>
      </c>
      <c r="P18" s="2">
        <f t="shared" si="1"/>
        <v>45412</v>
      </c>
      <c r="Q18" t="str">
        <f t="shared" si="2"/>
        <v>OK</v>
      </c>
      <c r="R18" s="18">
        <f t="shared" ca="1" si="3"/>
        <v>46310.670810300922</v>
      </c>
    </row>
    <row r="19" spans="1:18" x14ac:dyDescent="0.25">
      <c r="A19" t="s">
        <v>92</v>
      </c>
      <c r="B19" s="2">
        <v>45410</v>
      </c>
      <c r="C19" t="s">
        <v>93</v>
      </c>
      <c r="D19" t="s">
        <v>94</v>
      </c>
      <c r="E19" t="s">
        <v>84</v>
      </c>
      <c r="F19" t="s">
        <v>85</v>
      </c>
      <c r="G19" t="s">
        <v>23</v>
      </c>
      <c r="H19">
        <v>2</v>
      </c>
      <c r="I19" s="17">
        <v>699.99</v>
      </c>
      <c r="J19" t="s">
        <v>24</v>
      </c>
      <c r="K19" t="s">
        <v>44</v>
      </c>
      <c r="L19" t="s">
        <v>26</v>
      </c>
      <c r="M19" s="2">
        <v>44781</v>
      </c>
      <c r="N19" s="17">
        <v>1399.98</v>
      </c>
      <c r="O19">
        <f t="shared" ca="1" si="0"/>
        <v>4</v>
      </c>
      <c r="P19" s="2">
        <f t="shared" si="1"/>
        <v>45412</v>
      </c>
      <c r="Q19" t="str">
        <f t="shared" si="2"/>
        <v>OK</v>
      </c>
      <c r="R19" s="18">
        <f t="shared" ca="1" si="3"/>
        <v>46310.670810300922</v>
      </c>
    </row>
    <row r="20" spans="1:18" x14ac:dyDescent="0.25">
      <c r="A20" t="s">
        <v>95</v>
      </c>
      <c r="B20" s="2">
        <v>45410</v>
      </c>
      <c r="C20" t="s">
        <v>90</v>
      </c>
      <c r="D20" t="s">
        <v>91</v>
      </c>
      <c r="E20" t="s">
        <v>65</v>
      </c>
      <c r="F20" t="s">
        <v>66</v>
      </c>
      <c r="G20" t="s">
        <v>23</v>
      </c>
      <c r="H20">
        <v>4</v>
      </c>
      <c r="I20" s="17">
        <v>899.99</v>
      </c>
      <c r="J20" t="s">
        <v>30</v>
      </c>
      <c r="K20" t="s">
        <v>54</v>
      </c>
      <c r="L20" t="s">
        <v>40</v>
      </c>
      <c r="M20" s="2">
        <v>45327</v>
      </c>
      <c r="N20" s="17">
        <v>3599.96</v>
      </c>
      <c r="O20">
        <f t="shared" ca="1" si="0"/>
        <v>2</v>
      </c>
      <c r="P20" s="2">
        <f t="shared" si="1"/>
        <v>45412</v>
      </c>
      <c r="Q20" t="str">
        <f t="shared" si="2"/>
        <v>OK</v>
      </c>
      <c r="R20" s="18">
        <f t="shared" ca="1" si="3"/>
        <v>46310.670810300922</v>
      </c>
    </row>
    <row r="21" spans="1:18" x14ac:dyDescent="0.25">
      <c r="A21" t="s">
        <v>96</v>
      </c>
      <c r="B21" s="2">
        <v>45410</v>
      </c>
      <c r="C21" t="s">
        <v>97</v>
      </c>
      <c r="D21" t="s">
        <v>98</v>
      </c>
      <c r="E21" t="s">
        <v>21</v>
      </c>
      <c r="F21" t="s">
        <v>22</v>
      </c>
      <c r="G21" t="s">
        <v>23</v>
      </c>
      <c r="H21">
        <v>3</v>
      </c>
      <c r="I21" s="17">
        <v>249.99</v>
      </c>
      <c r="J21" t="s">
        <v>30</v>
      </c>
      <c r="K21" t="s">
        <v>44</v>
      </c>
      <c r="L21" t="s">
        <v>31</v>
      </c>
      <c r="M21" s="2">
        <v>45224</v>
      </c>
      <c r="N21" s="17">
        <v>749.97</v>
      </c>
      <c r="O21">
        <f t="shared" ca="1" si="0"/>
        <v>2</v>
      </c>
      <c r="P21" s="2">
        <f t="shared" si="1"/>
        <v>45412</v>
      </c>
      <c r="Q21" t="str">
        <f t="shared" si="2"/>
        <v>OK</v>
      </c>
      <c r="R21" s="18">
        <f t="shared" ca="1" si="3"/>
        <v>46310.670810300922</v>
      </c>
    </row>
    <row r="22" spans="1:18" x14ac:dyDescent="0.25">
      <c r="A22" t="s">
        <v>99</v>
      </c>
      <c r="B22" s="2">
        <v>45412</v>
      </c>
      <c r="C22" t="s">
        <v>100</v>
      </c>
      <c r="D22" t="s">
        <v>101</v>
      </c>
      <c r="E22" t="s">
        <v>84</v>
      </c>
      <c r="F22" t="s">
        <v>85</v>
      </c>
      <c r="G22" t="s">
        <v>23</v>
      </c>
      <c r="H22">
        <v>5</v>
      </c>
      <c r="I22" s="17">
        <v>699.99</v>
      </c>
      <c r="J22" t="s">
        <v>24</v>
      </c>
      <c r="K22" t="s">
        <v>54</v>
      </c>
      <c r="L22" t="s">
        <v>26</v>
      </c>
      <c r="M22" s="2">
        <v>45167</v>
      </c>
      <c r="N22" s="17">
        <v>3499.95</v>
      </c>
      <c r="O22">
        <f t="shared" ca="1" si="0"/>
        <v>3</v>
      </c>
      <c r="P22" s="2">
        <f t="shared" si="1"/>
        <v>45412</v>
      </c>
      <c r="Q22" t="str">
        <f t="shared" si="2"/>
        <v>OK</v>
      </c>
      <c r="R22" s="18">
        <f t="shared" ca="1" si="3"/>
        <v>46310.670810300922</v>
      </c>
    </row>
    <row r="23" spans="1:18" x14ac:dyDescent="0.25">
      <c r="A23" t="s">
        <v>102</v>
      </c>
      <c r="B23" s="2">
        <v>45413</v>
      </c>
      <c r="C23" t="s">
        <v>103</v>
      </c>
      <c r="D23" t="s">
        <v>104</v>
      </c>
      <c r="E23" t="s">
        <v>84</v>
      </c>
      <c r="F23" t="s">
        <v>85</v>
      </c>
      <c r="G23" t="s">
        <v>23</v>
      </c>
      <c r="H23">
        <v>4</v>
      </c>
      <c r="I23" s="17">
        <v>699.99</v>
      </c>
      <c r="J23" t="s">
        <v>24</v>
      </c>
      <c r="K23" t="s">
        <v>67</v>
      </c>
      <c r="L23" t="s">
        <v>40</v>
      </c>
      <c r="M23" s="2">
        <v>44409</v>
      </c>
      <c r="N23" s="17">
        <v>2799.96</v>
      </c>
      <c r="O23">
        <f t="shared" ca="1" si="0"/>
        <v>5</v>
      </c>
      <c r="P23" s="2">
        <f t="shared" si="1"/>
        <v>45443</v>
      </c>
      <c r="Q23" t="str">
        <f t="shared" si="2"/>
        <v>OK</v>
      </c>
      <c r="R23" s="18">
        <f t="shared" ca="1" si="3"/>
        <v>46310.670810300922</v>
      </c>
    </row>
    <row r="24" spans="1:18" x14ac:dyDescent="0.25">
      <c r="A24" t="s">
        <v>105</v>
      </c>
      <c r="B24" s="2">
        <v>45415</v>
      </c>
      <c r="C24" t="s">
        <v>106</v>
      </c>
      <c r="D24" t="s">
        <v>107</v>
      </c>
      <c r="E24" t="s">
        <v>21</v>
      </c>
      <c r="F24" t="s">
        <v>22</v>
      </c>
      <c r="G24" t="s">
        <v>23</v>
      </c>
      <c r="H24">
        <v>4</v>
      </c>
      <c r="I24" s="17">
        <v>249.99</v>
      </c>
      <c r="J24" t="s">
        <v>38</v>
      </c>
      <c r="K24" t="s">
        <v>44</v>
      </c>
      <c r="L24" t="s">
        <v>40</v>
      </c>
      <c r="M24" s="2">
        <v>44468</v>
      </c>
      <c r="N24" s="17">
        <v>999.96</v>
      </c>
      <c r="O24">
        <f t="shared" ca="1" si="0"/>
        <v>5</v>
      </c>
      <c r="P24" s="2">
        <f t="shared" si="1"/>
        <v>45443</v>
      </c>
      <c r="Q24" t="str">
        <f t="shared" si="2"/>
        <v>OK</v>
      </c>
      <c r="R24" s="18">
        <f t="shared" ca="1" si="3"/>
        <v>46310.670810300922</v>
      </c>
    </row>
    <row r="25" spans="1:18" x14ac:dyDescent="0.25">
      <c r="A25" t="s">
        <v>108</v>
      </c>
      <c r="B25" s="2">
        <v>45416</v>
      </c>
      <c r="C25" t="s">
        <v>90</v>
      </c>
      <c r="D25" t="s">
        <v>91</v>
      </c>
      <c r="E25" t="s">
        <v>109</v>
      </c>
      <c r="F25" t="s">
        <v>110</v>
      </c>
      <c r="G25" t="s">
        <v>50</v>
      </c>
      <c r="H25">
        <v>4</v>
      </c>
      <c r="I25" s="17">
        <v>299.99</v>
      </c>
      <c r="J25" t="s">
        <v>24</v>
      </c>
      <c r="K25" t="s">
        <v>54</v>
      </c>
      <c r="L25" t="s">
        <v>31</v>
      </c>
      <c r="M25" s="2">
        <v>44716</v>
      </c>
      <c r="N25" s="17">
        <v>1199.96</v>
      </c>
      <c r="O25">
        <f t="shared" ca="1" si="0"/>
        <v>4</v>
      </c>
      <c r="P25" s="2">
        <f t="shared" si="1"/>
        <v>45443</v>
      </c>
      <c r="Q25" t="str">
        <f t="shared" si="2"/>
        <v>OK</v>
      </c>
      <c r="R25" s="18">
        <f t="shared" ca="1" si="3"/>
        <v>46310.670810300922</v>
      </c>
    </row>
    <row r="26" spans="1:18" x14ac:dyDescent="0.25">
      <c r="A26" t="s">
        <v>111</v>
      </c>
      <c r="B26" s="2">
        <v>45422</v>
      </c>
      <c r="C26" t="s">
        <v>112</v>
      </c>
      <c r="D26" t="s">
        <v>113</v>
      </c>
      <c r="E26" t="s">
        <v>21</v>
      </c>
      <c r="F26" t="s">
        <v>22</v>
      </c>
      <c r="G26" t="s">
        <v>23</v>
      </c>
      <c r="H26">
        <v>5</v>
      </c>
      <c r="I26" s="17">
        <v>249.99</v>
      </c>
      <c r="J26" t="s">
        <v>30</v>
      </c>
      <c r="K26" t="s">
        <v>54</v>
      </c>
      <c r="L26" t="s">
        <v>40</v>
      </c>
      <c r="M26" s="2">
        <v>44525</v>
      </c>
      <c r="N26" s="17">
        <v>1249.95</v>
      </c>
      <c r="O26">
        <f t="shared" ca="1" si="0"/>
        <v>4</v>
      </c>
      <c r="P26" s="2">
        <f t="shared" si="1"/>
        <v>45443</v>
      </c>
      <c r="Q26" t="str">
        <f t="shared" si="2"/>
        <v>OK</v>
      </c>
      <c r="R26" s="18">
        <f t="shared" ca="1" si="3"/>
        <v>46310.670810300922</v>
      </c>
    </row>
    <row r="27" spans="1:18" x14ac:dyDescent="0.25">
      <c r="A27" t="s">
        <v>114</v>
      </c>
      <c r="B27" s="2">
        <v>45424</v>
      </c>
      <c r="C27" t="s">
        <v>72</v>
      </c>
      <c r="D27" t="s">
        <v>73</v>
      </c>
      <c r="E27" t="s">
        <v>109</v>
      </c>
      <c r="F27" t="s">
        <v>110</v>
      </c>
      <c r="G27" t="s">
        <v>50</v>
      </c>
      <c r="H27">
        <v>5</v>
      </c>
      <c r="I27" s="17">
        <v>299.99</v>
      </c>
      <c r="J27" t="s">
        <v>38</v>
      </c>
      <c r="K27" t="s">
        <v>67</v>
      </c>
      <c r="L27" t="s">
        <v>26</v>
      </c>
      <c r="M27" s="2">
        <v>45168</v>
      </c>
      <c r="N27" s="17">
        <v>1499.95</v>
      </c>
      <c r="O27">
        <f t="shared" ca="1" si="0"/>
        <v>3</v>
      </c>
      <c r="P27" s="2">
        <f t="shared" si="1"/>
        <v>45443</v>
      </c>
      <c r="Q27" t="str">
        <f t="shared" si="2"/>
        <v>OK</v>
      </c>
      <c r="R27" s="18">
        <f t="shared" ca="1" si="3"/>
        <v>46310.670810300922</v>
      </c>
    </row>
    <row r="28" spans="1:18" x14ac:dyDescent="0.25">
      <c r="A28" t="s">
        <v>115</v>
      </c>
      <c r="B28" s="2">
        <v>45424</v>
      </c>
      <c r="C28" t="s">
        <v>116</v>
      </c>
      <c r="D28" t="s">
        <v>117</v>
      </c>
      <c r="E28" t="s">
        <v>118</v>
      </c>
      <c r="F28" t="s">
        <v>119</v>
      </c>
      <c r="G28" t="s">
        <v>37</v>
      </c>
      <c r="H28">
        <v>3</v>
      </c>
      <c r="I28" s="17">
        <v>79.989999999999995</v>
      </c>
      <c r="J28" t="s">
        <v>38</v>
      </c>
      <c r="K28" t="s">
        <v>67</v>
      </c>
      <c r="L28" t="s">
        <v>31</v>
      </c>
      <c r="M28" s="2">
        <v>45012</v>
      </c>
      <c r="N28" s="17">
        <v>239.97</v>
      </c>
      <c r="O28">
        <f t="shared" ca="1" si="0"/>
        <v>3</v>
      </c>
      <c r="P28" s="2">
        <f t="shared" si="1"/>
        <v>45443</v>
      </c>
      <c r="Q28" t="str">
        <f t="shared" si="2"/>
        <v>OK</v>
      </c>
      <c r="R28" s="18">
        <f t="shared" ca="1" si="3"/>
        <v>46310.670810300922</v>
      </c>
    </row>
    <row r="29" spans="1:18" x14ac:dyDescent="0.25">
      <c r="A29" t="s">
        <v>120</v>
      </c>
      <c r="B29" s="2">
        <v>45424</v>
      </c>
      <c r="C29" t="s">
        <v>103</v>
      </c>
      <c r="D29" t="s">
        <v>104</v>
      </c>
      <c r="E29" t="s">
        <v>121</v>
      </c>
      <c r="F29" t="s">
        <v>122</v>
      </c>
      <c r="G29" t="s">
        <v>23</v>
      </c>
      <c r="H29">
        <v>5</v>
      </c>
      <c r="I29" s="17">
        <v>89.99</v>
      </c>
      <c r="J29" t="s">
        <v>24</v>
      </c>
      <c r="K29" t="s">
        <v>44</v>
      </c>
      <c r="L29" t="s">
        <v>31</v>
      </c>
      <c r="M29" s="2">
        <v>44919</v>
      </c>
      <c r="N29" s="17">
        <v>449.95</v>
      </c>
      <c r="O29">
        <f t="shared" ca="1" si="0"/>
        <v>3</v>
      </c>
      <c r="P29" s="2">
        <f t="shared" si="1"/>
        <v>45443</v>
      </c>
      <c r="Q29" t="str">
        <f t="shared" si="2"/>
        <v>OK</v>
      </c>
      <c r="R29" s="18">
        <f t="shared" ca="1" si="3"/>
        <v>46310.670810300922</v>
      </c>
    </row>
    <row r="30" spans="1:18" x14ac:dyDescent="0.25">
      <c r="A30" t="s">
        <v>123</v>
      </c>
      <c r="B30" s="2">
        <v>45425</v>
      </c>
      <c r="C30" t="s">
        <v>124</v>
      </c>
      <c r="D30" t="s">
        <v>125</v>
      </c>
      <c r="E30" t="s">
        <v>35</v>
      </c>
      <c r="F30" t="s">
        <v>36</v>
      </c>
      <c r="G30" t="s">
        <v>37</v>
      </c>
      <c r="H30">
        <v>2</v>
      </c>
      <c r="I30" s="17">
        <v>59.99</v>
      </c>
      <c r="J30" t="s">
        <v>61</v>
      </c>
      <c r="K30" t="s">
        <v>25</v>
      </c>
      <c r="L30" t="s">
        <v>40</v>
      </c>
      <c r="M30" s="2">
        <v>45214</v>
      </c>
      <c r="N30" s="17">
        <v>119.98</v>
      </c>
      <c r="O30">
        <f t="shared" ca="1" si="0"/>
        <v>3</v>
      </c>
      <c r="P30" s="2">
        <f t="shared" si="1"/>
        <v>45443</v>
      </c>
      <c r="Q30" t="str">
        <f t="shared" si="2"/>
        <v>OK</v>
      </c>
      <c r="R30" s="18">
        <f t="shared" ca="1" si="3"/>
        <v>46310.670810300922</v>
      </c>
    </row>
    <row r="31" spans="1:18" x14ac:dyDescent="0.25">
      <c r="A31" t="s">
        <v>126</v>
      </c>
      <c r="B31" s="2">
        <v>45427</v>
      </c>
      <c r="C31" t="s">
        <v>127</v>
      </c>
      <c r="D31" t="s">
        <v>128</v>
      </c>
      <c r="E31" t="s">
        <v>35</v>
      </c>
      <c r="F31" t="s">
        <v>36</v>
      </c>
      <c r="G31" t="s">
        <v>37</v>
      </c>
      <c r="H31">
        <v>4</v>
      </c>
      <c r="I31" s="17">
        <v>59.99</v>
      </c>
      <c r="J31" t="s">
        <v>61</v>
      </c>
      <c r="K31" t="s">
        <v>67</v>
      </c>
      <c r="L31" t="s">
        <v>40</v>
      </c>
      <c r="M31" s="2">
        <v>44867</v>
      </c>
      <c r="N31" s="17">
        <v>239.96</v>
      </c>
      <c r="O31">
        <f t="shared" ca="1" si="0"/>
        <v>3</v>
      </c>
      <c r="P31" s="2">
        <f t="shared" si="1"/>
        <v>45443</v>
      </c>
      <c r="Q31" t="str">
        <f t="shared" si="2"/>
        <v>OK</v>
      </c>
      <c r="R31" s="18">
        <f t="shared" ca="1" si="3"/>
        <v>46310.670810300922</v>
      </c>
    </row>
    <row r="32" spans="1:18" x14ac:dyDescent="0.25">
      <c r="A32" t="s">
        <v>129</v>
      </c>
      <c r="B32" s="2">
        <v>45427</v>
      </c>
      <c r="C32" t="s">
        <v>59</v>
      </c>
      <c r="D32" t="s">
        <v>60</v>
      </c>
      <c r="E32" t="s">
        <v>130</v>
      </c>
      <c r="F32" t="s">
        <v>131</v>
      </c>
      <c r="G32" t="s">
        <v>50</v>
      </c>
      <c r="H32">
        <v>5</v>
      </c>
      <c r="I32" s="17">
        <v>199.99</v>
      </c>
      <c r="J32" t="s">
        <v>24</v>
      </c>
      <c r="K32" t="s">
        <v>39</v>
      </c>
      <c r="L32" t="s">
        <v>40</v>
      </c>
      <c r="M32" s="2">
        <v>44412</v>
      </c>
      <c r="N32" s="17">
        <v>999.95</v>
      </c>
      <c r="O32">
        <f t="shared" ca="1" si="0"/>
        <v>5</v>
      </c>
      <c r="P32" s="2">
        <f t="shared" si="1"/>
        <v>45443</v>
      </c>
      <c r="Q32" t="str">
        <f t="shared" si="2"/>
        <v>OK</v>
      </c>
      <c r="R32" s="18">
        <f t="shared" ca="1" si="3"/>
        <v>46310.670810300922</v>
      </c>
    </row>
    <row r="33" spans="1:18" x14ac:dyDescent="0.25">
      <c r="A33" t="s">
        <v>132</v>
      </c>
      <c r="B33" s="2">
        <v>45428</v>
      </c>
      <c r="C33" t="s">
        <v>133</v>
      </c>
      <c r="D33" t="s">
        <v>134</v>
      </c>
      <c r="E33" t="s">
        <v>48</v>
      </c>
      <c r="F33" t="s">
        <v>49</v>
      </c>
      <c r="G33" t="s">
        <v>50</v>
      </c>
      <c r="H33">
        <v>2</v>
      </c>
      <c r="I33" s="17">
        <v>149.99</v>
      </c>
      <c r="J33" t="s">
        <v>30</v>
      </c>
      <c r="K33" t="s">
        <v>54</v>
      </c>
      <c r="L33" t="s">
        <v>26</v>
      </c>
      <c r="M33" s="2">
        <v>44823</v>
      </c>
      <c r="N33" s="17">
        <v>299.98</v>
      </c>
      <c r="O33">
        <f t="shared" ca="1" si="0"/>
        <v>4</v>
      </c>
      <c r="P33" s="2">
        <f t="shared" si="1"/>
        <v>45443</v>
      </c>
      <c r="Q33" t="str">
        <f t="shared" si="2"/>
        <v>OK</v>
      </c>
      <c r="R33" s="18">
        <f t="shared" ca="1" si="3"/>
        <v>46310.670810300922</v>
      </c>
    </row>
    <row r="34" spans="1:18" x14ac:dyDescent="0.25">
      <c r="A34" t="s">
        <v>135</v>
      </c>
      <c r="B34" s="2">
        <v>45430</v>
      </c>
      <c r="C34" t="s">
        <v>136</v>
      </c>
      <c r="D34" t="s">
        <v>137</v>
      </c>
      <c r="E34" t="s">
        <v>48</v>
      </c>
      <c r="F34" t="s">
        <v>49</v>
      </c>
      <c r="G34" t="s">
        <v>50</v>
      </c>
      <c r="H34">
        <v>3</v>
      </c>
      <c r="I34" s="17">
        <v>149.99</v>
      </c>
      <c r="J34" t="s">
        <v>30</v>
      </c>
      <c r="K34" t="s">
        <v>54</v>
      </c>
      <c r="L34" t="s">
        <v>31</v>
      </c>
      <c r="M34" s="2">
        <v>45068</v>
      </c>
      <c r="N34" s="17">
        <v>449.97</v>
      </c>
      <c r="O34">
        <f t="shared" ca="1" si="0"/>
        <v>3</v>
      </c>
      <c r="P34" s="2">
        <f t="shared" si="1"/>
        <v>45443</v>
      </c>
      <c r="Q34" t="str">
        <f t="shared" si="2"/>
        <v>OK</v>
      </c>
      <c r="R34" s="18">
        <f t="shared" ca="1" si="3"/>
        <v>46310.670810300922</v>
      </c>
    </row>
    <row r="35" spans="1:18" x14ac:dyDescent="0.25">
      <c r="A35" t="s">
        <v>138</v>
      </c>
      <c r="B35" s="2">
        <v>45432</v>
      </c>
      <c r="C35" t="s">
        <v>33</v>
      </c>
      <c r="D35" t="s">
        <v>34</v>
      </c>
      <c r="E35" t="s">
        <v>65</v>
      </c>
      <c r="F35" t="s">
        <v>66</v>
      </c>
      <c r="G35" t="s">
        <v>23</v>
      </c>
      <c r="H35">
        <v>1</v>
      </c>
      <c r="I35" s="17">
        <v>899.99</v>
      </c>
      <c r="J35" t="s">
        <v>30</v>
      </c>
      <c r="K35" t="s">
        <v>54</v>
      </c>
      <c r="L35" t="s">
        <v>31</v>
      </c>
      <c r="M35" s="2">
        <v>44578</v>
      </c>
      <c r="N35" s="17">
        <v>899.99</v>
      </c>
      <c r="O35">
        <f t="shared" ca="1" si="0"/>
        <v>4</v>
      </c>
      <c r="P35" s="2">
        <f t="shared" si="1"/>
        <v>45443</v>
      </c>
      <c r="Q35" t="str">
        <f t="shared" si="2"/>
        <v>OK</v>
      </c>
      <c r="R35" s="18">
        <f t="shared" ca="1" si="3"/>
        <v>46310.670810300922</v>
      </c>
    </row>
    <row r="36" spans="1:18" x14ac:dyDescent="0.25">
      <c r="A36" t="s">
        <v>139</v>
      </c>
      <c r="B36" s="2">
        <v>45434</v>
      </c>
      <c r="C36" t="s">
        <v>103</v>
      </c>
      <c r="D36" t="s">
        <v>104</v>
      </c>
      <c r="E36" t="s">
        <v>109</v>
      </c>
      <c r="F36" t="s">
        <v>110</v>
      </c>
      <c r="G36" t="s">
        <v>50</v>
      </c>
      <c r="H36">
        <v>3</v>
      </c>
      <c r="I36" s="17">
        <v>299.99</v>
      </c>
      <c r="J36" t="s">
        <v>30</v>
      </c>
      <c r="K36" t="s">
        <v>67</v>
      </c>
      <c r="L36" t="s">
        <v>26</v>
      </c>
      <c r="M36" s="2">
        <v>44824</v>
      </c>
      <c r="N36" s="17">
        <v>899.97</v>
      </c>
      <c r="O36">
        <f t="shared" ca="1" si="0"/>
        <v>4</v>
      </c>
      <c r="P36" s="2">
        <f t="shared" si="1"/>
        <v>45443</v>
      </c>
      <c r="Q36" t="str">
        <f t="shared" si="2"/>
        <v>OK</v>
      </c>
      <c r="R36" s="18">
        <f t="shared" ca="1" si="3"/>
        <v>46310.670810300922</v>
      </c>
    </row>
    <row r="37" spans="1:18" x14ac:dyDescent="0.25">
      <c r="A37" t="s">
        <v>140</v>
      </c>
      <c r="B37" s="2">
        <v>45435</v>
      </c>
      <c r="C37" t="s">
        <v>133</v>
      </c>
      <c r="D37" t="s">
        <v>134</v>
      </c>
      <c r="E37" t="s">
        <v>118</v>
      </c>
      <c r="F37" t="s">
        <v>119</v>
      </c>
      <c r="G37" t="s">
        <v>37</v>
      </c>
      <c r="H37">
        <v>3</v>
      </c>
      <c r="I37" s="17">
        <v>79.989999999999995</v>
      </c>
      <c r="J37" t="s">
        <v>24</v>
      </c>
      <c r="K37" t="s">
        <v>39</v>
      </c>
      <c r="L37" t="s">
        <v>26</v>
      </c>
      <c r="M37" s="2">
        <v>45046</v>
      </c>
      <c r="N37" s="17">
        <v>239.97</v>
      </c>
      <c r="O37">
        <f t="shared" ca="1" si="0"/>
        <v>3</v>
      </c>
      <c r="P37" s="2">
        <f t="shared" si="1"/>
        <v>45443</v>
      </c>
      <c r="Q37" t="str">
        <f t="shared" si="2"/>
        <v>OK</v>
      </c>
      <c r="R37" s="18">
        <f t="shared" ca="1" si="3"/>
        <v>46310.670810300922</v>
      </c>
    </row>
    <row r="38" spans="1:18" x14ac:dyDescent="0.25">
      <c r="A38" t="s">
        <v>141</v>
      </c>
      <c r="B38" s="2">
        <v>45438</v>
      </c>
      <c r="C38" t="s">
        <v>142</v>
      </c>
      <c r="D38" t="s">
        <v>143</v>
      </c>
      <c r="E38" t="s">
        <v>130</v>
      </c>
      <c r="F38" t="s">
        <v>131</v>
      </c>
      <c r="G38" t="s">
        <v>50</v>
      </c>
      <c r="H38">
        <v>3</v>
      </c>
      <c r="I38" s="17">
        <v>199.99</v>
      </c>
      <c r="J38" t="s">
        <v>30</v>
      </c>
      <c r="K38" t="s">
        <v>44</v>
      </c>
      <c r="L38" t="s">
        <v>31</v>
      </c>
      <c r="M38" s="2">
        <v>45292</v>
      </c>
      <c r="N38" s="17">
        <v>599.97</v>
      </c>
      <c r="O38">
        <f t="shared" ca="1" si="0"/>
        <v>2</v>
      </c>
      <c r="P38" s="2">
        <f t="shared" si="1"/>
        <v>45443</v>
      </c>
      <c r="Q38" t="str">
        <f t="shared" si="2"/>
        <v>OK</v>
      </c>
      <c r="R38" s="18">
        <f t="shared" ca="1" si="3"/>
        <v>46310.670810300922</v>
      </c>
    </row>
    <row r="39" spans="1:18" x14ac:dyDescent="0.25">
      <c r="A39" t="s">
        <v>144</v>
      </c>
      <c r="B39" s="2">
        <v>45440</v>
      </c>
      <c r="C39" t="s">
        <v>145</v>
      </c>
      <c r="D39" t="s">
        <v>146</v>
      </c>
      <c r="E39" t="s">
        <v>84</v>
      </c>
      <c r="F39" t="s">
        <v>85</v>
      </c>
      <c r="G39" t="s">
        <v>23</v>
      </c>
      <c r="H39">
        <v>5</v>
      </c>
      <c r="I39" s="17">
        <v>699.99</v>
      </c>
      <c r="J39" t="s">
        <v>38</v>
      </c>
      <c r="K39" t="s">
        <v>54</v>
      </c>
      <c r="L39" t="s">
        <v>40</v>
      </c>
      <c r="M39" s="2">
        <v>44407</v>
      </c>
      <c r="N39" s="17">
        <v>3499.95</v>
      </c>
      <c r="O39">
        <f t="shared" ca="1" si="0"/>
        <v>5</v>
      </c>
      <c r="P39" s="2">
        <f t="shared" si="1"/>
        <v>45443</v>
      </c>
      <c r="Q39" t="str">
        <f t="shared" si="2"/>
        <v>OK</v>
      </c>
      <c r="R39" s="18">
        <f t="shared" ca="1" si="3"/>
        <v>46310.670810300922</v>
      </c>
    </row>
    <row r="40" spans="1:18" x14ac:dyDescent="0.25">
      <c r="A40" t="s">
        <v>147</v>
      </c>
      <c r="B40" s="2">
        <v>45441</v>
      </c>
      <c r="C40" t="s">
        <v>148</v>
      </c>
      <c r="D40" t="s">
        <v>149</v>
      </c>
      <c r="E40" t="s">
        <v>121</v>
      </c>
      <c r="F40" t="s">
        <v>122</v>
      </c>
      <c r="G40" t="s">
        <v>23</v>
      </c>
      <c r="H40">
        <v>3</v>
      </c>
      <c r="I40" s="17">
        <v>89.99</v>
      </c>
      <c r="J40" t="s">
        <v>38</v>
      </c>
      <c r="K40" t="s">
        <v>25</v>
      </c>
      <c r="L40" t="s">
        <v>31</v>
      </c>
      <c r="M40" s="2">
        <v>45120</v>
      </c>
      <c r="N40" s="17">
        <v>269.97000000000003</v>
      </c>
      <c r="O40">
        <f t="shared" ca="1" si="0"/>
        <v>3</v>
      </c>
      <c r="P40" s="2">
        <f t="shared" si="1"/>
        <v>45443</v>
      </c>
      <c r="Q40" t="str">
        <f t="shared" si="2"/>
        <v>OK</v>
      </c>
      <c r="R40" s="18">
        <f t="shared" ca="1" si="3"/>
        <v>46310.670810300922</v>
      </c>
    </row>
    <row r="41" spans="1:18" x14ac:dyDescent="0.25">
      <c r="A41" t="s">
        <v>150</v>
      </c>
      <c r="B41" s="2">
        <v>45443</v>
      </c>
      <c r="C41" t="s">
        <v>151</v>
      </c>
      <c r="D41" t="s">
        <v>152</v>
      </c>
      <c r="E41" t="s">
        <v>118</v>
      </c>
      <c r="F41" t="s">
        <v>119</v>
      </c>
      <c r="G41" t="s">
        <v>37</v>
      </c>
      <c r="H41">
        <v>1</v>
      </c>
      <c r="I41" s="17">
        <v>79.989999999999995</v>
      </c>
      <c r="J41" t="s">
        <v>24</v>
      </c>
      <c r="K41" t="s">
        <v>44</v>
      </c>
      <c r="L41" t="s">
        <v>40</v>
      </c>
      <c r="M41" s="2">
        <v>44917</v>
      </c>
      <c r="N41" s="17">
        <v>79.989999999999995</v>
      </c>
      <c r="O41">
        <f t="shared" ca="1" si="0"/>
        <v>3</v>
      </c>
      <c r="P41" s="2">
        <f t="shared" si="1"/>
        <v>45443</v>
      </c>
      <c r="Q41" t="str">
        <f t="shared" si="2"/>
        <v>OK</v>
      </c>
      <c r="R41" s="18">
        <f t="shared" ca="1" si="3"/>
        <v>46310.670810300922</v>
      </c>
    </row>
    <row r="42" spans="1:18" x14ac:dyDescent="0.25">
      <c r="A42" t="s">
        <v>153</v>
      </c>
      <c r="B42" s="2">
        <v>45444</v>
      </c>
      <c r="C42" t="s">
        <v>154</v>
      </c>
      <c r="D42" t="s">
        <v>155</v>
      </c>
      <c r="E42" t="s">
        <v>35</v>
      </c>
      <c r="F42" t="s">
        <v>36</v>
      </c>
      <c r="G42" t="s">
        <v>37</v>
      </c>
      <c r="H42">
        <v>2</v>
      </c>
      <c r="I42" s="17">
        <v>59.99</v>
      </c>
      <c r="J42" t="s">
        <v>24</v>
      </c>
      <c r="K42" t="s">
        <v>54</v>
      </c>
      <c r="L42" t="s">
        <v>26</v>
      </c>
      <c r="M42" s="2">
        <v>45390</v>
      </c>
      <c r="N42" s="17">
        <v>119.98</v>
      </c>
      <c r="O42">
        <f t="shared" ca="1" si="0"/>
        <v>2</v>
      </c>
      <c r="P42" s="2">
        <f t="shared" si="1"/>
        <v>45473</v>
      </c>
      <c r="Q42" t="str">
        <f t="shared" si="2"/>
        <v>OK</v>
      </c>
      <c r="R42" s="18">
        <f t="shared" ca="1" si="3"/>
        <v>46310.670810300922</v>
      </c>
    </row>
    <row r="43" spans="1:18" x14ac:dyDescent="0.25">
      <c r="A43" t="s">
        <v>156</v>
      </c>
      <c r="B43" s="2">
        <v>45444</v>
      </c>
      <c r="C43" t="s">
        <v>59</v>
      </c>
      <c r="D43" t="s">
        <v>60</v>
      </c>
      <c r="E43" t="s">
        <v>121</v>
      </c>
      <c r="F43" t="s">
        <v>122</v>
      </c>
      <c r="G43" t="s">
        <v>23</v>
      </c>
      <c r="H43">
        <v>1</v>
      </c>
      <c r="I43" s="17">
        <v>89.99</v>
      </c>
      <c r="J43" t="s">
        <v>24</v>
      </c>
      <c r="K43" t="s">
        <v>44</v>
      </c>
      <c r="L43" t="s">
        <v>26</v>
      </c>
      <c r="M43" s="2">
        <v>45141</v>
      </c>
      <c r="N43" s="17">
        <v>89.99</v>
      </c>
      <c r="O43">
        <f t="shared" ca="1" si="0"/>
        <v>3</v>
      </c>
      <c r="P43" s="2">
        <f t="shared" si="1"/>
        <v>45473</v>
      </c>
      <c r="Q43" t="str">
        <f t="shared" si="2"/>
        <v>OK</v>
      </c>
      <c r="R43" s="18">
        <f t="shared" ca="1" si="3"/>
        <v>46310.670810300922</v>
      </c>
    </row>
    <row r="44" spans="1:18" x14ac:dyDescent="0.25">
      <c r="A44" t="s">
        <v>157</v>
      </c>
      <c r="B44" s="2">
        <v>45446</v>
      </c>
      <c r="C44" t="s">
        <v>158</v>
      </c>
      <c r="D44" t="s">
        <v>159</v>
      </c>
      <c r="E44" t="s">
        <v>121</v>
      </c>
      <c r="F44" t="s">
        <v>122</v>
      </c>
      <c r="G44" t="s">
        <v>23</v>
      </c>
      <c r="H44">
        <v>5</v>
      </c>
      <c r="I44" s="17">
        <v>89.99</v>
      </c>
      <c r="J44" t="s">
        <v>30</v>
      </c>
      <c r="K44" t="s">
        <v>67</v>
      </c>
      <c r="L44" t="s">
        <v>40</v>
      </c>
      <c r="M44" s="2">
        <v>44587</v>
      </c>
      <c r="N44" s="17">
        <v>449.95</v>
      </c>
      <c r="O44">
        <f t="shared" ca="1" si="0"/>
        <v>4</v>
      </c>
      <c r="P44" s="2">
        <f t="shared" si="1"/>
        <v>45473</v>
      </c>
      <c r="Q44" t="str">
        <f t="shared" si="2"/>
        <v>OK</v>
      </c>
      <c r="R44" s="18">
        <f t="shared" ca="1" si="3"/>
        <v>46310.670810300922</v>
      </c>
    </row>
    <row r="45" spans="1:18" x14ac:dyDescent="0.25">
      <c r="A45" t="s">
        <v>160</v>
      </c>
      <c r="B45" s="2">
        <v>45449</v>
      </c>
      <c r="C45" t="s">
        <v>28</v>
      </c>
      <c r="D45" t="s">
        <v>29</v>
      </c>
      <c r="E45" t="s">
        <v>21</v>
      </c>
      <c r="F45" t="s">
        <v>22</v>
      </c>
      <c r="G45" t="s">
        <v>23</v>
      </c>
      <c r="H45">
        <v>5</v>
      </c>
      <c r="I45" s="17">
        <v>249.99</v>
      </c>
      <c r="J45" t="s">
        <v>30</v>
      </c>
      <c r="K45" t="s">
        <v>67</v>
      </c>
      <c r="L45" t="s">
        <v>40</v>
      </c>
      <c r="M45" s="2">
        <v>44707</v>
      </c>
      <c r="N45" s="17">
        <v>1249.95</v>
      </c>
      <c r="O45">
        <f t="shared" ca="1" si="0"/>
        <v>4</v>
      </c>
      <c r="P45" s="2">
        <f t="shared" si="1"/>
        <v>45473</v>
      </c>
      <c r="Q45" t="str">
        <f t="shared" si="2"/>
        <v>OK</v>
      </c>
      <c r="R45" s="18">
        <f t="shared" ca="1" si="3"/>
        <v>46310.670810300922</v>
      </c>
    </row>
    <row r="46" spans="1:18" x14ac:dyDescent="0.25">
      <c r="A46" t="s">
        <v>161</v>
      </c>
      <c r="B46" s="2">
        <v>45449</v>
      </c>
      <c r="C46" t="s">
        <v>162</v>
      </c>
      <c r="D46" t="s">
        <v>163</v>
      </c>
      <c r="E46" t="s">
        <v>121</v>
      </c>
      <c r="F46" t="s">
        <v>122</v>
      </c>
      <c r="G46" t="s">
        <v>23</v>
      </c>
      <c r="H46">
        <v>1</v>
      </c>
      <c r="I46" s="17">
        <v>89.99</v>
      </c>
      <c r="J46" t="s">
        <v>30</v>
      </c>
      <c r="K46" t="s">
        <v>39</v>
      </c>
      <c r="L46" t="s">
        <v>40</v>
      </c>
      <c r="M46" s="2">
        <v>44582</v>
      </c>
      <c r="N46" s="17">
        <v>89.99</v>
      </c>
      <c r="O46">
        <f t="shared" ca="1" si="0"/>
        <v>4</v>
      </c>
      <c r="P46" s="2">
        <f t="shared" si="1"/>
        <v>45473</v>
      </c>
      <c r="Q46" t="str">
        <f t="shared" si="2"/>
        <v>OK</v>
      </c>
      <c r="R46" s="18">
        <f t="shared" ca="1" si="3"/>
        <v>46310.670810300922</v>
      </c>
    </row>
    <row r="47" spans="1:18" x14ac:dyDescent="0.25">
      <c r="A47" t="s">
        <v>164</v>
      </c>
      <c r="B47" s="2">
        <v>45450</v>
      </c>
      <c r="C47" t="s">
        <v>46</v>
      </c>
      <c r="D47" t="s">
        <v>47</v>
      </c>
      <c r="E47" t="s">
        <v>48</v>
      </c>
      <c r="F47" t="s">
        <v>49</v>
      </c>
      <c r="G47" t="s">
        <v>50</v>
      </c>
      <c r="H47">
        <v>2</v>
      </c>
      <c r="I47" s="17">
        <v>149.99</v>
      </c>
      <c r="J47" t="s">
        <v>24</v>
      </c>
      <c r="K47" t="s">
        <v>67</v>
      </c>
      <c r="L47" t="s">
        <v>31</v>
      </c>
      <c r="M47" s="2">
        <v>44645</v>
      </c>
      <c r="N47" s="17">
        <v>299.98</v>
      </c>
      <c r="O47">
        <f t="shared" ca="1" si="0"/>
        <v>4</v>
      </c>
      <c r="P47" s="2">
        <f t="shared" si="1"/>
        <v>45473</v>
      </c>
      <c r="Q47" t="str">
        <f t="shared" si="2"/>
        <v>OK</v>
      </c>
      <c r="R47" s="18">
        <f t="shared" ca="1" si="3"/>
        <v>46310.670810300922</v>
      </c>
    </row>
    <row r="48" spans="1:18" x14ac:dyDescent="0.25">
      <c r="A48" t="s">
        <v>165</v>
      </c>
      <c r="B48" s="2">
        <v>45452</v>
      </c>
      <c r="C48" t="s">
        <v>166</v>
      </c>
      <c r="D48" t="s">
        <v>167</v>
      </c>
      <c r="E48" t="s">
        <v>35</v>
      </c>
      <c r="F48" t="s">
        <v>36</v>
      </c>
      <c r="G48" t="s">
        <v>37</v>
      </c>
      <c r="H48">
        <v>4</v>
      </c>
      <c r="I48" s="17">
        <v>59.99</v>
      </c>
      <c r="J48" t="s">
        <v>24</v>
      </c>
      <c r="K48" t="s">
        <v>67</v>
      </c>
      <c r="L48" t="s">
        <v>40</v>
      </c>
      <c r="M48" s="2">
        <v>44435</v>
      </c>
      <c r="N48" s="17">
        <v>239.96</v>
      </c>
      <c r="O48">
        <f t="shared" ca="1" si="0"/>
        <v>5</v>
      </c>
      <c r="P48" s="2">
        <f t="shared" si="1"/>
        <v>45473</v>
      </c>
      <c r="Q48" t="str">
        <f t="shared" si="2"/>
        <v>OK</v>
      </c>
      <c r="R48" s="18">
        <f t="shared" ca="1" si="3"/>
        <v>46310.670810300922</v>
      </c>
    </row>
    <row r="49" spans="1:18" x14ac:dyDescent="0.25">
      <c r="A49" t="s">
        <v>168</v>
      </c>
      <c r="B49" s="2">
        <v>45456</v>
      </c>
      <c r="C49" t="s">
        <v>133</v>
      </c>
      <c r="D49" t="s">
        <v>134</v>
      </c>
      <c r="E49" t="s">
        <v>121</v>
      </c>
      <c r="F49" t="s">
        <v>122</v>
      </c>
      <c r="G49" t="s">
        <v>23</v>
      </c>
      <c r="H49">
        <v>5</v>
      </c>
      <c r="I49" s="17">
        <v>89.99</v>
      </c>
      <c r="J49" t="s">
        <v>24</v>
      </c>
      <c r="K49" t="s">
        <v>25</v>
      </c>
      <c r="L49" t="s">
        <v>31</v>
      </c>
      <c r="M49" s="2">
        <v>44579</v>
      </c>
      <c r="N49" s="17">
        <v>449.95</v>
      </c>
      <c r="O49">
        <f t="shared" ca="1" si="0"/>
        <v>4</v>
      </c>
      <c r="P49" s="2">
        <f t="shared" si="1"/>
        <v>45473</v>
      </c>
      <c r="Q49" t="str">
        <f t="shared" si="2"/>
        <v>OK</v>
      </c>
      <c r="R49" s="18">
        <f t="shared" ca="1" si="3"/>
        <v>46310.670810300922</v>
      </c>
    </row>
    <row r="50" spans="1:18" x14ac:dyDescent="0.25">
      <c r="A50" t="s">
        <v>169</v>
      </c>
      <c r="B50" s="2">
        <v>45459</v>
      </c>
      <c r="C50" t="s">
        <v>103</v>
      </c>
      <c r="D50" t="s">
        <v>104</v>
      </c>
      <c r="E50" t="s">
        <v>121</v>
      </c>
      <c r="F50" t="s">
        <v>122</v>
      </c>
      <c r="G50" t="s">
        <v>23</v>
      </c>
      <c r="H50">
        <v>2</v>
      </c>
      <c r="I50" s="17">
        <v>89.99</v>
      </c>
      <c r="J50" t="s">
        <v>30</v>
      </c>
      <c r="K50" t="s">
        <v>39</v>
      </c>
      <c r="L50" t="s">
        <v>31</v>
      </c>
      <c r="M50" s="2">
        <v>44471</v>
      </c>
      <c r="N50" s="17">
        <v>179.98</v>
      </c>
      <c r="O50">
        <f t="shared" ca="1" si="0"/>
        <v>5</v>
      </c>
      <c r="P50" s="2">
        <f t="shared" si="1"/>
        <v>45473</v>
      </c>
      <c r="Q50" t="str">
        <f t="shared" si="2"/>
        <v>OK</v>
      </c>
      <c r="R50" s="18">
        <f t="shared" ca="1" si="3"/>
        <v>46310.670810300922</v>
      </c>
    </row>
    <row r="51" spans="1:18" x14ac:dyDescent="0.25">
      <c r="A51" t="s">
        <v>170</v>
      </c>
      <c r="B51" s="2">
        <v>45459</v>
      </c>
      <c r="C51" t="s">
        <v>19</v>
      </c>
      <c r="D51" t="s">
        <v>20</v>
      </c>
      <c r="E51" t="s">
        <v>65</v>
      </c>
      <c r="F51" t="s">
        <v>66</v>
      </c>
      <c r="G51" t="s">
        <v>23</v>
      </c>
      <c r="H51">
        <v>5</v>
      </c>
      <c r="I51" s="17">
        <v>899.99</v>
      </c>
      <c r="J51" t="s">
        <v>30</v>
      </c>
      <c r="K51" t="s">
        <v>39</v>
      </c>
      <c r="L51" t="s">
        <v>40</v>
      </c>
      <c r="M51" s="2">
        <v>44974</v>
      </c>
      <c r="N51" s="17">
        <v>4499.95</v>
      </c>
      <c r="O51">
        <f t="shared" ca="1" si="0"/>
        <v>3</v>
      </c>
      <c r="P51" s="2">
        <f t="shared" si="1"/>
        <v>45473</v>
      </c>
      <c r="Q51" t="str">
        <f t="shared" si="2"/>
        <v>OK</v>
      </c>
      <c r="R51" s="18">
        <f t="shared" ca="1" si="3"/>
        <v>46310.670810300922</v>
      </c>
    </row>
    <row r="52" spans="1:18" x14ac:dyDescent="0.25">
      <c r="A52" t="s">
        <v>171</v>
      </c>
      <c r="B52" s="2">
        <v>45459</v>
      </c>
      <c r="C52" t="s">
        <v>127</v>
      </c>
      <c r="D52" t="s">
        <v>128</v>
      </c>
      <c r="E52" t="s">
        <v>65</v>
      </c>
      <c r="F52" t="s">
        <v>66</v>
      </c>
      <c r="G52" t="s">
        <v>23</v>
      </c>
      <c r="H52">
        <v>5</v>
      </c>
      <c r="I52" s="17">
        <v>899.99</v>
      </c>
      <c r="J52" t="s">
        <v>38</v>
      </c>
      <c r="K52" t="s">
        <v>67</v>
      </c>
      <c r="L52" t="s">
        <v>31</v>
      </c>
      <c r="M52" s="2">
        <v>45278</v>
      </c>
      <c r="N52" s="17">
        <v>4499.95</v>
      </c>
      <c r="O52">
        <f t="shared" ca="1" si="0"/>
        <v>2</v>
      </c>
      <c r="P52" s="2">
        <f t="shared" si="1"/>
        <v>45473</v>
      </c>
      <c r="Q52" t="str">
        <f t="shared" si="2"/>
        <v>OK</v>
      </c>
      <c r="R52" s="18">
        <f t="shared" ca="1" si="3"/>
        <v>46310.670810300922</v>
      </c>
    </row>
    <row r="53" spans="1:18" x14ac:dyDescent="0.25">
      <c r="A53" t="s">
        <v>172</v>
      </c>
      <c r="B53" s="2">
        <v>45460</v>
      </c>
      <c r="C53" t="s">
        <v>162</v>
      </c>
      <c r="D53" t="s">
        <v>163</v>
      </c>
      <c r="E53" t="s">
        <v>35</v>
      </c>
      <c r="F53" t="s">
        <v>36</v>
      </c>
      <c r="G53" t="s">
        <v>37</v>
      </c>
      <c r="H53">
        <v>1</v>
      </c>
      <c r="I53" s="17">
        <v>59.99</v>
      </c>
      <c r="J53" t="s">
        <v>61</v>
      </c>
      <c r="K53" t="s">
        <v>54</v>
      </c>
      <c r="L53" t="s">
        <v>31</v>
      </c>
      <c r="M53" s="2">
        <v>45190</v>
      </c>
      <c r="N53" s="17">
        <v>59.99</v>
      </c>
      <c r="O53">
        <f t="shared" ca="1" si="0"/>
        <v>3</v>
      </c>
      <c r="P53" s="2">
        <f t="shared" si="1"/>
        <v>45473</v>
      </c>
      <c r="Q53" t="str">
        <f t="shared" si="2"/>
        <v>OK</v>
      </c>
      <c r="R53" s="18">
        <f t="shared" ca="1" si="3"/>
        <v>46310.670810300922</v>
      </c>
    </row>
    <row r="54" spans="1:18" x14ac:dyDescent="0.25">
      <c r="A54" t="s">
        <v>173</v>
      </c>
      <c r="B54" s="2">
        <v>45460</v>
      </c>
      <c r="C54" t="s">
        <v>145</v>
      </c>
      <c r="D54" t="s">
        <v>146</v>
      </c>
      <c r="E54" t="s">
        <v>109</v>
      </c>
      <c r="F54" t="s">
        <v>110</v>
      </c>
      <c r="G54" t="s">
        <v>50</v>
      </c>
      <c r="H54">
        <v>2</v>
      </c>
      <c r="I54" s="17">
        <v>299.99</v>
      </c>
      <c r="J54" t="s">
        <v>61</v>
      </c>
      <c r="K54" t="s">
        <v>67</v>
      </c>
      <c r="L54" t="s">
        <v>40</v>
      </c>
      <c r="M54" s="2">
        <v>45253</v>
      </c>
      <c r="N54" s="17">
        <v>599.98</v>
      </c>
      <c r="O54">
        <f t="shared" ca="1" si="0"/>
        <v>2</v>
      </c>
      <c r="P54" s="2">
        <f t="shared" si="1"/>
        <v>45473</v>
      </c>
      <c r="Q54" t="str">
        <f t="shared" si="2"/>
        <v>OK</v>
      </c>
      <c r="R54" s="18">
        <f t="shared" ca="1" si="3"/>
        <v>46310.670810300922</v>
      </c>
    </row>
    <row r="55" spans="1:18" x14ac:dyDescent="0.25">
      <c r="A55" t="s">
        <v>174</v>
      </c>
      <c r="B55" s="2">
        <v>45468</v>
      </c>
      <c r="C55" t="s">
        <v>175</v>
      </c>
      <c r="D55" t="s">
        <v>176</v>
      </c>
      <c r="E55" t="s">
        <v>121</v>
      </c>
      <c r="F55" t="s">
        <v>122</v>
      </c>
      <c r="G55" t="s">
        <v>23</v>
      </c>
      <c r="H55">
        <v>4</v>
      </c>
      <c r="I55" s="17">
        <v>89.99</v>
      </c>
      <c r="J55" t="s">
        <v>61</v>
      </c>
      <c r="K55" t="s">
        <v>39</v>
      </c>
      <c r="L55" t="s">
        <v>26</v>
      </c>
      <c r="M55" s="2">
        <v>45281</v>
      </c>
      <c r="N55" s="17">
        <v>359.96</v>
      </c>
      <c r="O55">
        <f t="shared" ca="1" si="0"/>
        <v>2</v>
      </c>
      <c r="P55" s="2">
        <f t="shared" si="1"/>
        <v>45473</v>
      </c>
      <c r="Q55" t="str">
        <f t="shared" si="2"/>
        <v>OK</v>
      </c>
      <c r="R55" s="18">
        <f t="shared" ca="1" si="3"/>
        <v>46310.670810300922</v>
      </c>
    </row>
    <row r="56" spans="1:18" x14ac:dyDescent="0.25">
      <c r="A56" t="s">
        <v>177</v>
      </c>
      <c r="B56" s="2">
        <v>45469</v>
      </c>
      <c r="C56" t="s">
        <v>33</v>
      </c>
      <c r="D56" t="s">
        <v>34</v>
      </c>
      <c r="E56" t="s">
        <v>118</v>
      </c>
      <c r="F56" t="s">
        <v>119</v>
      </c>
      <c r="G56" t="s">
        <v>37</v>
      </c>
      <c r="H56">
        <v>1</v>
      </c>
      <c r="I56" s="17">
        <v>79.989999999999995</v>
      </c>
      <c r="J56" t="s">
        <v>38</v>
      </c>
      <c r="K56" t="s">
        <v>25</v>
      </c>
      <c r="L56" t="s">
        <v>31</v>
      </c>
      <c r="M56" s="2">
        <v>45352</v>
      </c>
      <c r="N56" s="17">
        <v>79.989999999999995</v>
      </c>
      <c r="O56">
        <f t="shared" ca="1" si="0"/>
        <v>2</v>
      </c>
      <c r="P56" s="2">
        <f t="shared" si="1"/>
        <v>45473</v>
      </c>
      <c r="Q56" t="str">
        <f t="shared" si="2"/>
        <v>OK</v>
      </c>
      <c r="R56" s="18">
        <f t="shared" ca="1" si="3"/>
        <v>46310.670810300922</v>
      </c>
    </row>
    <row r="57" spans="1:18" x14ac:dyDescent="0.25">
      <c r="A57" t="s">
        <v>178</v>
      </c>
      <c r="B57" s="2">
        <v>45469</v>
      </c>
      <c r="C57" t="s">
        <v>63</v>
      </c>
      <c r="D57" t="s">
        <v>64</v>
      </c>
      <c r="E57" t="s">
        <v>121</v>
      </c>
      <c r="F57" t="s">
        <v>122</v>
      </c>
      <c r="G57" t="s">
        <v>23</v>
      </c>
      <c r="H57">
        <v>2</v>
      </c>
      <c r="I57" s="17">
        <v>89.99</v>
      </c>
      <c r="J57" t="s">
        <v>24</v>
      </c>
      <c r="K57" t="s">
        <v>54</v>
      </c>
      <c r="L57" t="s">
        <v>26</v>
      </c>
      <c r="M57" s="2">
        <v>44438</v>
      </c>
      <c r="N57" s="17">
        <v>179.98</v>
      </c>
      <c r="O57">
        <f t="shared" ca="1" si="0"/>
        <v>5</v>
      </c>
      <c r="P57" s="2">
        <f t="shared" si="1"/>
        <v>45473</v>
      </c>
      <c r="Q57" t="str">
        <f t="shared" si="2"/>
        <v>OK</v>
      </c>
      <c r="R57" s="18">
        <f t="shared" ca="1" si="3"/>
        <v>46310.670810300922</v>
      </c>
    </row>
    <row r="58" spans="1:18" x14ac:dyDescent="0.25">
      <c r="A58" t="s">
        <v>179</v>
      </c>
      <c r="B58" s="2">
        <v>45471</v>
      </c>
      <c r="C58" t="s">
        <v>42</v>
      </c>
      <c r="D58" t="s">
        <v>43</v>
      </c>
      <c r="E58" t="s">
        <v>84</v>
      </c>
      <c r="F58" t="s">
        <v>85</v>
      </c>
      <c r="G58" t="s">
        <v>23</v>
      </c>
      <c r="H58">
        <v>3</v>
      </c>
      <c r="I58" s="17">
        <v>699.99</v>
      </c>
      <c r="J58" t="s">
        <v>30</v>
      </c>
      <c r="K58" t="s">
        <v>67</v>
      </c>
      <c r="L58" t="s">
        <v>31</v>
      </c>
      <c r="M58" s="2">
        <v>45102</v>
      </c>
      <c r="N58" s="17">
        <v>2099.9699999999998</v>
      </c>
      <c r="O58">
        <f t="shared" ca="1" si="0"/>
        <v>3</v>
      </c>
      <c r="P58" s="2">
        <f t="shared" si="1"/>
        <v>45473</v>
      </c>
      <c r="Q58" t="str">
        <f t="shared" si="2"/>
        <v>OK</v>
      </c>
      <c r="R58" s="18">
        <f t="shared" ca="1" si="3"/>
        <v>46310.670810300922</v>
      </c>
    </row>
    <row r="59" spans="1:18" x14ac:dyDescent="0.25">
      <c r="A59" t="s">
        <v>180</v>
      </c>
      <c r="B59" s="2">
        <v>45471</v>
      </c>
      <c r="C59" t="s">
        <v>103</v>
      </c>
      <c r="D59" t="s">
        <v>104</v>
      </c>
      <c r="E59" t="s">
        <v>65</v>
      </c>
      <c r="F59" t="s">
        <v>66</v>
      </c>
      <c r="G59" t="s">
        <v>23</v>
      </c>
      <c r="H59">
        <v>4</v>
      </c>
      <c r="I59" s="17">
        <v>899.99</v>
      </c>
      <c r="J59" t="s">
        <v>30</v>
      </c>
      <c r="K59" t="s">
        <v>67</v>
      </c>
      <c r="L59" t="s">
        <v>31</v>
      </c>
      <c r="M59" s="2">
        <v>44993</v>
      </c>
      <c r="N59" s="17">
        <v>3599.96</v>
      </c>
      <c r="O59">
        <f t="shared" ca="1" si="0"/>
        <v>3</v>
      </c>
      <c r="P59" s="2">
        <f t="shared" si="1"/>
        <v>45473</v>
      </c>
      <c r="Q59" t="str">
        <f t="shared" si="2"/>
        <v>OK</v>
      </c>
      <c r="R59" s="18">
        <f t="shared" ca="1" si="3"/>
        <v>46310.670810300922</v>
      </c>
    </row>
    <row r="60" spans="1:18" x14ac:dyDescent="0.25">
      <c r="A60" t="s">
        <v>181</v>
      </c>
      <c r="B60" s="2">
        <v>45472</v>
      </c>
      <c r="C60" t="s">
        <v>124</v>
      </c>
      <c r="D60" t="s">
        <v>125</v>
      </c>
      <c r="E60" t="s">
        <v>48</v>
      </c>
      <c r="F60" t="s">
        <v>49</v>
      </c>
      <c r="G60" t="s">
        <v>50</v>
      </c>
      <c r="H60">
        <v>1</v>
      </c>
      <c r="I60" s="17">
        <v>149.99</v>
      </c>
      <c r="J60" t="s">
        <v>38</v>
      </c>
      <c r="K60" t="s">
        <v>67</v>
      </c>
      <c r="L60" t="s">
        <v>26</v>
      </c>
      <c r="M60" s="2">
        <v>44851</v>
      </c>
      <c r="N60" s="17">
        <v>149.99</v>
      </c>
      <c r="O60">
        <f t="shared" ca="1" si="0"/>
        <v>3</v>
      </c>
      <c r="P60" s="2">
        <f t="shared" si="1"/>
        <v>45473</v>
      </c>
      <c r="Q60" t="str">
        <f t="shared" si="2"/>
        <v>OK</v>
      </c>
      <c r="R60" s="18">
        <f t="shared" ca="1" si="3"/>
        <v>46310.670810300922</v>
      </c>
    </row>
    <row r="61" spans="1:18" x14ac:dyDescent="0.25">
      <c r="A61" t="s">
        <v>182</v>
      </c>
      <c r="B61" s="2">
        <v>45474</v>
      </c>
      <c r="C61" t="s">
        <v>136</v>
      </c>
      <c r="D61" t="s">
        <v>137</v>
      </c>
      <c r="E61" t="s">
        <v>121</v>
      </c>
      <c r="F61" t="s">
        <v>122</v>
      </c>
      <c r="G61" t="s">
        <v>23</v>
      </c>
      <c r="H61">
        <v>2</v>
      </c>
      <c r="I61" s="17">
        <v>89.99</v>
      </c>
      <c r="J61" t="s">
        <v>38</v>
      </c>
      <c r="K61" t="s">
        <v>25</v>
      </c>
      <c r="L61" t="s">
        <v>31</v>
      </c>
      <c r="M61" s="2">
        <v>45275</v>
      </c>
      <c r="N61" s="17">
        <v>179.98</v>
      </c>
      <c r="O61">
        <f t="shared" ca="1" si="0"/>
        <v>2</v>
      </c>
      <c r="P61" s="2">
        <f t="shared" si="1"/>
        <v>45504</v>
      </c>
      <c r="Q61" t="str">
        <f t="shared" si="2"/>
        <v>OK</v>
      </c>
      <c r="R61" s="18">
        <f t="shared" ca="1" si="3"/>
        <v>46310.670810300922</v>
      </c>
    </row>
    <row r="62" spans="1:18" x14ac:dyDescent="0.25">
      <c r="A62" t="s">
        <v>183</v>
      </c>
      <c r="B62" s="2">
        <v>45475</v>
      </c>
      <c r="C62" t="s">
        <v>59</v>
      </c>
      <c r="D62" t="s">
        <v>60</v>
      </c>
      <c r="E62" t="s">
        <v>121</v>
      </c>
      <c r="F62" t="s">
        <v>122</v>
      </c>
      <c r="G62" t="s">
        <v>23</v>
      </c>
      <c r="H62">
        <v>1</v>
      </c>
      <c r="I62" s="17">
        <v>89.99</v>
      </c>
      <c r="J62" t="s">
        <v>38</v>
      </c>
      <c r="K62" t="s">
        <v>54</v>
      </c>
      <c r="L62" t="s">
        <v>40</v>
      </c>
      <c r="M62" s="2">
        <v>44802</v>
      </c>
      <c r="N62" s="17">
        <v>89.99</v>
      </c>
      <c r="O62">
        <f t="shared" ca="1" si="0"/>
        <v>4</v>
      </c>
      <c r="P62" s="2">
        <f t="shared" si="1"/>
        <v>45504</v>
      </c>
      <c r="Q62" t="str">
        <f t="shared" si="2"/>
        <v>OK</v>
      </c>
      <c r="R62" s="18">
        <f t="shared" ca="1" si="3"/>
        <v>46310.670810300922</v>
      </c>
    </row>
    <row r="63" spans="1:18" x14ac:dyDescent="0.25">
      <c r="A63" t="s">
        <v>184</v>
      </c>
      <c r="B63" s="2">
        <v>45476</v>
      </c>
      <c r="C63" t="s">
        <v>72</v>
      </c>
      <c r="D63" t="s">
        <v>73</v>
      </c>
      <c r="E63" t="s">
        <v>121</v>
      </c>
      <c r="F63" t="s">
        <v>122</v>
      </c>
      <c r="G63" t="s">
        <v>23</v>
      </c>
      <c r="H63">
        <v>1</v>
      </c>
      <c r="I63" s="17">
        <v>89.99</v>
      </c>
      <c r="J63" t="s">
        <v>24</v>
      </c>
      <c r="K63" t="s">
        <v>39</v>
      </c>
      <c r="L63" t="s">
        <v>40</v>
      </c>
      <c r="M63" s="2">
        <v>44611</v>
      </c>
      <c r="N63" s="17">
        <v>89.99</v>
      </c>
      <c r="O63">
        <f t="shared" ca="1" si="0"/>
        <v>4</v>
      </c>
      <c r="P63" s="2">
        <f t="shared" si="1"/>
        <v>45504</v>
      </c>
      <c r="Q63" t="str">
        <f t="shared" si="2"/>
        <v>OK</v>
      </c>
      <c r="R63" s="18">
        <f t="shared" ca="1" si="3"/>
        <v>46310.670810300922</v>
      </c>
    </row>
    <row r="64" spans="1:18" x14ac:dyDescent="0.25">
      <c r="A64" t="s">
        <v>185</v>
      </c>
      <c r="B64" s="2">
        <v>45476</v>
      </c>
      <c r="C64" t="s">
        <v>186</v>
      </c>
      <c r="D64" t="s">
        <v>187</v>
      </c>
      <c r="E64" t="s">
        <v>118</v>
      </c>
      <c r="F64" t="s">
        <v>119</v>
      </c>
      <c r="G64" t="s">
        <v>37</v>
      </c>
      <c r="H64">
        <v>5</v>
      </c>
      <c r="I64" s="17">
        <v>79.989999999999995</v>
      </c>
      <c r="J64" t="s">
        <v>61</v>
      </c>
      <c r="K64" t="s">
        <v>25</v>
      </c>
      <c r="L64" t="s">
        <v>26</v>
      </c>
      <c r="M64" s="2">
        <v>44981</v>
      </c>
      <c r="N64" s="17">
        <v>399.95</v>
      </c>
      <c r="O64">
        <f t="shared" ca="1" si="0"/>
        <v>3</v>
      </c>
      <c r="P64" s="2">
        <f t="shared" si="1"/>
        <v>45504</v>
      </c>
      <c r="Q64" t="str">
        <f t="shared" si="2"/>
        <v>OK</v>
      </c>
      <c r="R64" s="18">
        <f t="shared" ca="1" si="3"/>
        <v>46310.670810300922</v>
      </c>
    </row>
    <row r="65" spans="1:18" x14ac:dyDescent="0.25">
      <c r="A65" t="s">
        <v>188</v>
      </c>
      <c r="B65" s="2">
        <v>45481</v>
      </c>
      <c r="C65" t="s">
        <v>189</v>
      </c>
      <c r="D65" t="s">
        <v>190</v>
      </c>
      <c r="E65" t="s">
        <v>48</v>
      </c>
      <c r="F65" t="s">
        <v>49</v>
      </c>
      <c r="G65" t="s">
        <v>50</v>
      </c>
      <c r="H65">
        <v>1</v>
      </c>
      <c r="I65" s="17">
        <v>149.99</v>
      </c>
      <c r="J65" t="s">
        <v>38</v>
      </c>
      <c r="K65" t="s">
        <v>44</v>
      </c>
      <c r="L65" t="s">
        <v>26</v>
      </c>
      <c r="M65" s="2">
        <v>44421</v>
      </c>
      <c r="N65" s="17">
        <v>149.99</v>
      </c>
      <c r="O65">
        <f t="shared" ca="1" si="0"/>
        <v>5</v>
      </c>
      <c r="P65" s="2">
        <f t="shared" si="1"/>
        <v>45504</v>
      </c>
      <c r="Q65" t="str">
        <f t="shared" si="2"/>
        <v>OK</v>
      </c>
      <c r="R65" s="18">
        <f t="shared" ca="1" si="3"/>
        <v>46310.670810300922</v>
      </c>
    </row>
    <row r="66" spans="1:18" x14ac:dyDescent="0.25">
      <c r="A66" t="s">
        <v>191</v>
      </c>
      <c r="B66" s="2">
        <v>45481</v>
      </c>
      <c r="C66" t="s">
        <v>46</v>
      </c>
      <c r="D66" t="s">
        <v>47</v>
      </c>
      <c r="E66" t="s">
        <v>84</v>
      </c>
      <c r="F66" t="s">
        <v>85</v>
      </c>
      <c r="G66" t="s">
        <v>23</v>
      </c>
      <c r="H66">
        <v>2</v>
      </c>
      <c r="I66" s="17">
        <v>699.99</v>
      </c>
      <c r="J66" t="s">
        <v>38</v>
      </c>
      <c r="K66" t="s">
        <v>67</v>
      </c>
      <c r="L66" t="s">
        <v>31</v>
      </c>
      <c r="M66" s="2">
        <v>45389</v>
      </c>
      <c r="N66" s="17">
        <v>1399.98</v>
      </c>
      <c r="O66">
        <f t="shared" ref="O66:O129" ca="1" si="4">IFERROR(DATEDIF(M66,TODAY(),"Y"),0)</f>
        <v>2</v>
      </c>
      <c r="P66" s="2">
        <f t="shared" ref="P66:P129" si="5">EOMONTH(B66,0)</f>
        <v>45504</v>
      </c>
      <c r="Q66" t="str">
        <f t="shared" ref="Q66:Q129" si="6">IF(ABS(N66-H66*I66)&lt;1,"OK","Check")</f>
        <v>OK</v>
      </c>
      <c r="R66" s="18">
        <f t="shared" ref="R66:R129" ca="1" si="7">IF(A66&lt;&gt;"",NOW(),"")</f>
        <v>46310.670810300922</v>
      </c>
    </row>
    <row r="67" spans="1:18" x14ac:dyDescent="0.25">
      <c r="A67" t="s">
        <v>192</v>
      </c>
      <c r="B67" s="2">
        <v>45481</v>
      </c>
      <c r="C67" t="s">
        <v>100</v>
      </c>
      <c r="D67" t="s">
        <v>101</v>
      </c>
      <c r="E67" t="s">
        <v>121</v>
      </c>
      <c r="F67" t="s">
        <v>122</v>
      </c>
      <c r="G67" t="s">
        <v>23</v>
      </c>
      <c r="H67">
        <v>5</v>
      </c>
      <c r="I67" s="17">
        <v>89.99</v>
      </c>
      <c r="J67" t="s">
        <v>61</v>
      </c>
      <c r="K67" t="s">
        <v>44</v>
      </c>
      <c r="L67" t="s">
        <v>31</v>
      </c>
      <c r="M67" s="2">
        <v>45161</v>
      </c>
      <c r="N67" s="17">
        <v>449.95</v>
      </c>
      <c r="O67">
        <f t="shared" ca="1" si="4"/>
        <v>3</v>
      </c>
      <c r="P67" s="2">
        <f t="shared" si="5"/>
        <v>45504</v>
      </c>
      <c r="Q67" t="str">
        <f t="shared" si="6"/>
        <v>OK</v>
      </c>
      <c r="R67" s="18">
        <f t="shared" ca="1" si="7"/>
        <v>46310.670810300922</v>
      </c>
    </row>
    <row r="68" spans="1:18" x14ac:dyDescent="0.25">
      <c r="A68" t="s">
        <v>193</v>
      </c>
      <c r="B68" s="2">
        <v>45482</v>
      </c>
      <c r="C68" t="s">
        <v>175</v>
      </c>
      <c r="D68" t="s">
        <v>176</v>
      </c>
      <c r="E68" t="s">
        <v>35</v>
      </c>
      <c r="F68" t="s">
        <v>36</v>
      </c>
      <c r="G68" t="s">
        <v>37</v>
      </c>
      <c r="H68">
        <v>4</v>
      </c>
      <c r="I68" s="17">
        <v>59.99</v>
      </c>
      <c r="J68" t="s">
        <v>24</v>
      </c>
      <c r="K68" t="s">
        <v>39</v>
      </c>
      <c r="L68" t="s">
        <v>40</v>
      </c>
      <c r="M68" s="2">
        <v>44509</v>
      </c>
      <c r="N68" s="17">
        <v>239.96</v>
      </c>
      <c r="O68">
        <f t="shared" ca="1" si="4"/>
        <v>4</v>
      </c>
      <c r="P68" s="2">
        <f t="shared" si="5"/>
        <v>45504</v>
      </c>
      <c r="Q68" t="str">
        <f t="shared" si="6"/>
        <v>OK</v>
      </c>
      <c r="R68" s="18">
        <f t="shared" ca="1" si="7"/>
        <v>46310.670810300922</v>
      </c>
    </row>
    <row r="69" spans="1:18" x14ac:dyDescent="0.25">
      <c r="A69" t="s">
        <v>194</v>
      </c>
      <c r="B69" s="2">
        <v>45484</v>
      </c>
      <c r="C69" t="s">
        <v>28</v>
      </c>
      <c r="D69" t="s">
        <v>29</v>
      </c>
      <c r="E69" t="s">
        <v>56</v>
      </c>
      <c r="F69" t="s">
        <v>57</v>
      </c>
      <c r="G69" t="s">
        <v>23</v>
      </c>
      <c r="H69">
        <v>1</v>
      </c>
      <c r="I69" s="17">
        <v>149.99</v>
      </c>
      <c r="J69" t="s">
        <v>24</v>
      </c>
      <c r="K69" t="s">
        <v>25</v>
      </c>
      <c r="L69" t="s">
        <v>40</v>
      </c>
      <c r="M69" s="2">
        <v>44909</v>
      </c>
      <c r="N69" s="17">
        <v>149.99</v>
      </c>
      <c r="O69">
        <f t="shared" ca="1" si="4"/>
        <v>3</v>
      </c>
      <c r="P69" s="2">
        <f t="shared" si="5"/>
        <v>45504</v>
      </c>
      <c r="Q69" t="str">
        <f t="shared" si="6"/>
        <v>OK</v>
      </c>
      <c r="R69" s="18">
        <f t="shared" ca="1" si="7"/>
        <v>46310.670810300922</v>
      </c>
    </row>
    <row r="70" spans="1:18" x14ac:dyDescent="0.25">
      <c r="A70" t="s">
        <v>195</v>
      </c>
      <c r="B70" s="2">
        <v>45484</v>
      </c>
      <c r="C70" t="s">
        <v>196</v>
      </c>
      <c r="D70" t="s">
        <v>197</v>
      </c>
      <c r="E70" t="s">
        <v>109</v>
      </c>
      <c r="F70" t="s">
        <v>110</v>
      </c>
      <c r="G70" t="s">
        <v>50</v>
      </c>
      <c r="H70">
        <v>1</v>
      </c>
      <c r="I70" s="17">
        <v>299.99</v>
      </c>
      <c r="J70" t="s">
        <v>30</v>
      </c>
      <c r="K70" t="s">
        <v>44</v>
      </c>
      <c r="L70" t="s">
        <v>31</v>
      </c>
      <c r="M70" s="2">
        <v>44891</v>
      </c>
      <c r="N70" s="17">
        <v>299.99</v>
      </c>
      <c r="O70">
        <f t="shared" ca="1" si="4"/>
        <v>3</v>
      </c>
      <c r="P70" s="2">
        <f t="shared" si="5"/>
        <v>45504</v>
      </c>
      <c r="Q70" t="str">
        <f t="shared" si="6"/>
        <v>OK</v>
      </c>
      <c r="R70" s="18">
        <f t="shared" ca="1" si="7"/>
        <v>46310.670810300922</v>
      </c>
    </row>
    <row r="71" spans="1:18" x14ac:dyDescent="0.25">
      <c r="A71" t="s">
        <v>198</v>
      </c>
      <c r="B71" s="2">
        <v>45487</v>
      </c>
      <c r="C71" t="s">
        <v>196</v>
      </c>
      <c r="D71" t="s">
        <v>197</v>
      </c>
      <c r="E71" t="s">
        <v>130</v>
      </c>
      <c r="F71" t="s">
        <v>131</v>
      </c>
      <c r="G71" t="s">
        <v>50</v>
      </c>
      <c r="H71">
        <v>2</v>
      </c>
      <c r="I71" s="17">
        <v>199.99</v>
      </c>
      <c r="J71" t="s">
        <v>24</v>
      </c>
      <c r="K71" t="s">
        <v>44</v>
      </c>
      <c r="L71" t="s">
        <v>26</v>
      </c>
      <c r="M71" s="2">
        <v>44541</v>
      </c>
      <c r="N71" s="17">
        <v>399.98</v>
      </c>
      <c r="O71">
        <f t="shared" ca="1" si="4"/>
        <v>4</v>
      </c>
      <c r="P71" s="2">
        <f t="shared" si="5"/>
        <v>45504</v>
      </c>
      <c r="Q71" t="str">
        <f t="shared" si="6"/>
        <v>OK</v>
      </c>
      <c r="R71" s="18">
        <f t="shared" ca="1" si="7"/>
        <v>46310.670810300922</v>
      </c>
    </row>
    <row r="72" spans="1:18" x14ac:dyDescent="0.25">
      <c r="A72" t="s">
        <v>199</v>
      </c>
      <c r="B72" s="2">
        <v>45490</v>
      </c>
      <c r="C72" t="s">
        <v>200</v>
      </c>
      <c r="D72" t="s">
        <v>201</v>
      </c>
      <c r="E72" t="s">
        <v>35</v>
      </c>
      <c r="F72" t="s">
        <v>36</v>
      </c>
      <c r="G72" t="s">
        <v>37</v>
      </c>
      <c r="H72">
        <v>3</v>
      </c>
      <c r="I72" s="17">
        <v>59.99</v>
      </c>
      <c r="J72" t="s">
        <v>30</v>
      </c>
      <c r="K72" t="s">
        <v>54</v>
      </c>
      <c r="L72" t="s">
        <v>26</v>
      </c>
      <c r="M72" s="2">
        <v>45130</v>
      </c>
      <c r="N72" s="17">
        <v>179.97</v>
      </c>
      <c r="O72">
        <f t="shared" ca="1" si="4"/>
        <v>3</v>
      </c>
      <c r="P72" s="2">
        <f t="shared" si="5"/>
        <v>45504</v>
      </c>
      <c r="Q72" t="str">
        <f t="shared" si="6"/>
        <v>OK</v>
      </c>
      <c r="R72" s="18">
        <f t="shared" ca="1" si="7"/>
        <v>46310.670810300922</v>
      </c>
    </row>
    <row r="73" spans="1:18" x14ac:dyDescent="0.25">
      <c r="A73" t="s">
        <v>202</v>
      </c>
      <c r="B73" s="2">
        <v>45490</v>
      </c>
      <c r="C73" t="s">
        <v>76</v>
      </c>
      <c r="D73" t="s">
        <v>77</v>
      </c>
      <c r="E73" t="s">
        <v>48</v>
      </c>
      <c r="F73" t="s">
        <v>49</v>
      </c>
      <c r="G73" t="s">
        <v>50</v>
      </c>
      <c r="H73">
        <v>3</v>
      </c>
      <c r="I73" s="17">
        <v>149.99</v>
      </c>
      <c r="J73" t="s">
        <v>24</v>
      </c>
      <c r="K73" t="s">
        <v>25</v>
      </c>
      <c r="L73" t="s">
        <v>31</v>
      </c>
      <c r="M73" s="2">
        <v>45199</v>
      </c>
      <c r="N73" s="17">
        <v>449.97</v>
      </c>
      <c r="O73">
        <f t="shared" ca="1" si="4"/>
        <v>3</v>
      </c>
      <c r="P73" s="2">
        <f t="shared" si="5"/>
        <v>45504</v>
      </c>
      <c r="Q73" t="str">
        <f t="shared" si="6"/>
        <v>OK</v>
      </c>
      <c r="R73" s="18">
        <f t="shared" ca="1" si="7"/>
        <v>46310.670810300922</v>
      </c>
    </row>
    <row r="74" spans="1:18" x14ac:dyDescent="0.25">
      <c r="A74" t="s">
        <v>203</v>
      </c>
      <c r="B74" s="2">
        <v>45491</v>
      </c>
      <c r="C74" t="s">
        <v>69</v>
      </c>
      <c r="D74" t="s">
        <v>70</v>
      </c>
      <c r="E74" t="s">
        <v>130</v>
      </c>
      <c r="F74" t="s">
        <v>131</v>
      </c>
      <c r="G74" t="s">
        <v>50</v>
      </c>
      <c r="H74">
        <v>3</v>
      </c>
      <c r="I74" s="17">
        <v>199.99</v>
      </c>
      <c r="J74" t="s">
        <v>24</v>
      </c>
      <c r="K74" t="s">
        <v>44</v>
      </c>
      <c r="L74" t="s">
        <v>31</v>
      </c>
      <c r="M74" s="2">
        <v>45254</v>
      </c>
      <c r="N74" s="17">
        <v>599.97</v>
      </c>
      <c r="O74">
        <f t="shared" ca="1" si="4"/>
        <v>2</v>
      </c>
      <c r="P74" s="2">
        <f t="shared" si="5"/>
        <v>45504</v>
      </c>
      <c r="Q74" t="str">
        <f t="shared" si="6"/>
        <v>OK</v>
      </c>
      <c r="R74" s="18">
        <f t="shared" ca="1" si="7"/>
        <v>46310.670810300922</v>
      </c>
    </row>
    <row r="75" spans="1:18" x14ac:dyDescent="0.25">
      <c r="A75" t="s">
        <v>204</v>
      </c>
      <c r="B75" s="2">
        <v>45496</v>
      </c>
      <c r="C75" t="s">
        <v>154</v>
      </c>
      <c r="D75" t="s">
        <v>155</v>
      </c>
      <c r="E75" t="s">
        <v>65</v>
      </c>
      <c r="F75" t="s">
        <v>66</v>
      </c>
      <c r="G75" t="s">
        <v>23</v>
      </c>
      <c r="H75">
        <v>1</v>
      </c>
      <c r="I75" s="17">
        <v>899.99</v>
      </c>
      <c r="J75" t="s">
        <v>24</v>
      </c>
      <c r="K75" t="s">
        <v>25</v>
      </c>
      <c r="L75" t="s">
        <v>40</v>
      </c>
      <c r="M75" s="2">
        <v>45179</v>
      </c>
      <c r="N75" s="17">
        <v>899.99</v>
      </c>
      <c r="O75">
        <f t="shared" ca="1" si="4"/>
        <v>3</v>
      </c>
      <c r="P75" s="2">
        <f t="shared" si="5"/>
        <v>45504</v>
      </c>
      <c r="Q75" t="str">
        <f t="shared" si="6"/>
        <v>OK</v>
      </c>
      <c r="R75" s="18">
        <f t="shared" ca="1" si="7"/>
        <v>46310.670810300922</v>
      </c>
    </row>
    <row r="76" spans="1:18" x14ac:dyDescent="0.25">
      <c r="A76" t="s">
        <v>205</v>
      </c>
      <c r="B76" s="2">
        <v>45497</v>
      </c>
      <c r="C76" t="s">
        <v>28</v>
      </c>
      <c r="D76" t="s">
        <v>29</v>
      </c>
      <c r="E76" t="s">
        <v>65</v>
      </c>
      <c r="F76" t="s">
        <v>66</v>
      </c>
      <c r="G76" t="s">
        <v>23</v>
      </c>
      <c r="H76">
        <v>5</v>
      </c>
      <c r="I76" s="17">
        <v>899.99</v>
      </c>
      <c r="J76" t="s">
        <v>61</v>
      </c>
      <c r="K76" t="s">
        <v>39</v>
      </c>
      <c r="L76" t="s">
        <v>40</v>
      </c>
      <c r="M76" s="2">
        <v>44899</v>
      </c>
      <c r="N76" s="17">
        <v>4499.95</v>
      </c>
      <c r="O76">
        <f t="shared" ca="1" si="4"/>
        <v>3</v>
      </c>
      <c r="P76" s="2">
        <f t="shared" si="5"/>
        <v>45504</v>
      </c>
      <c r="Q76" t="str">
        <f t="shared" si="6"/>
        <v>OK</v>
      </c>
      <c r="R76" s="18">
        <f t="shared" ca="1" si="7"/>
        <v>46310.670810300922</v>
      </c>
    </row>
    <row r="77" spans="1:18" x14ac:dyDescent="0.25">
      <c r="A77" t="s">
        <v>206</v>
      </c>
      <c r="B77" s="2">
        <v>45498</v>
      </c>
      <c r="C77" t="s">
        <v>186</v>
      </c>
      <c r="D77" t="s">
        <v>187</v>
      </c>
      <c r="E77" t="s">
        <v>35</v>
      </c>
      <c r="F77" t="s">
        <v>36</v>
      </c>
      <c r="G77" t="s">
        <v>37</v>
      </c>
      <c r="H77">
        <v>2</v>
      </c>
      <c r="I77" s="17">
        <v>59.99</v>
      </c>
      <c r="J77" t="s">
        <v>24</v>
      </c>
      <c r="K77" t="s">
        <v>44</v>
      </c>
      <c r="L77" t="s">
        <v>40</v>
      </c>
      <c r="M77" s="2">
        <v>45152</v>
      </c>
      <c r="N77" s="17">
        <v>119.98</v>
      </c>
      <c r="O77">
        <f t="shared" ca="1" si="4"/>
        <v>3</v>
      </c>
      <c r="P77" s="2">
        <f t="shared" si="5"/>
        <v>45504</v>
      </c>
      <c r="Q77" t="str">
        <f t="shared" si="6"/>
        <v>OK</v>
      </c>
      <c r="R77" s="18">
        <f t="shared" ca="1" si="7"/>
        <v>46310.670810300922</v>
      </c>
    </row>
    <row r="78" spans="1:18" x14ac:dyDescent="0.25">
      <c r="A78" t="s">
        <v>207</v>
      </c>
      <c r="B78" s="2">
        <v>45498</v>
      </c>
      <c r="C78" t="s">
        <v>200</v>
      </c>
      <c r="D78" t="s">
        <v>201</v>
      </c>
      <c r="E78" t="s">
        <v>21</v>
      </c>
      <c r="F78" t="s">
        <v>22</v>
      </c>
      <c r="G78" t="s">
        <v>23</v>
      </c>
      <c r="H78">
        <v>4</v>
      </c>
      <c r="I78" s="17">
        <v>249.99</v>
      </c>
      <c r="J78" t="s">
        <v>61</v>
      </c>
      <c r="K78" t="s">
        <v>25</v>
      </c>
      <c r="L78" t="s">
        <v>40</v>
      </c>
      <c r="M78" s="2">
        <v>45127</v>
      </c>
      <c r="N78" s="17">
        <v>999.96</v>
      </c>
      <c r="O78">
        <f t="shared" ca="1" si="4"/>
        <v>3</v>
      </c>
      <c r="P78" s="2">
        <f t="shared" si="5"/>
        <v>45504</v>
      </c>
      <c r="Q78" t="str">
        <f t="shared" si="6"/>
        <v>OK</v>
      </c>
      <c r="R78" s="18">
        <f t="shared" ca="1" si="7"/>
        <v>46310.670810300922</v>
      </c>
    </row>
    <row r="79" spans="1:18" x14ac:dyDescent="0.25">
      <c r="A79" t="s">
        <v>208</v>
      </c>
      <c r="B79" s="2">
        <v>45500</v>
      </c>
      <c r="C79" t="s">
        <v>100</v>
      </c>
      <c r="D79" t="s">
        <v>101</v>
      </c>
      <c r="E79" t="s">
        <v>21</v>
      </c>
      <c r="F79" t="s">
        <v>22</v>
      </c>
      <c r="G79" t="s">
        <v>23</v>
      </c>
      <c r="H79">
        <v>2</v>
      </c>
      <c r="I79" s="17">
        <v>249.99</v>
      </c>
      <c r="J79" t="s">
        <v>24</v>
      </c>
      <c r="K79" t="s">
        <v>44</v>
      </c>
      <c r="L79" t="s">
        <v>31</v>
      </c>
      <c r="M79" s="2">
        <v>45164</v>
      </c>
      <c r="N79" s="17">
        <v>499.98</v>
      </c>
      <c r="O79">
        <f t="shared" ca="1" si="4"/>
        <v>3</v>
      </c>
      <c r="P79" s="2">
        <f t="shared" si="5"/>
        <v>45504</v>
      </c>
      <c r="Q79" t="str">
        <f t="shared" si="6"/>
        <v>OK</v>
      </c>
      <c r="R79" s="18">
        <f t="shared" ca="1" si="7"/>
        <v>46310.670810300922</v>
      </c>
    </row>
    <row r="80" spans="1:18" x14ac:dyDescent="0.25">
      <c r="A80" t="s">
        <v>209</v>
      </c>
      <c r="B80" s="2">
        <v>45500</v>
      </c>
      <c r="C80" t="s">
        <v>151</v>
      </c>
      <c r="D80" t="s">
        <v>152</v>
      </c>
      <c r="E80" t="s">
        <v>109</v>
      </c>
      <c r="F80" t="s">
        <v>110</v>
      </c>
      <c r="G80" t="s">
        <v>50</v>
      </c>
      <c r="H80">
        <v>1</v>
      </c>
      <c r="I80" s="17">
        <v>299.99</v>
      </c>
      <c r="J80" t="s">
        <v>24</v>
      </c>
      <c r="K80" t="s">
        <v>39</v>
      </c>
      <c r="L80" t="s">
        <v>26</v>
      </c>
      <c r="M80" s="2">
        <v>44982</v>
      </c>
      <c r="N80" s="17">
        <v>299.99</v>
      </c>
      <c r="O80">
        <f t="shared" ca="1" si="4"/>
        <v>3</v>
      </c>
      <c r="P80" s="2">
        <f t="shared" si="5"/>
        <v>45504</v>
      </c>
      <c r="Q80" t="str">
        <f t="shared" si="6"/>
        <v>OK</v>
      </c>
      <c r="R80" s="18">
        <f t="shared" ca="1" si="7"/>
        <v>46310.670810300922</v>
      </c>
    </row>
    <row r="81" spans="1:18" x14ac:dyDescent="0.25">
      <c r="A81" t="s">
        <v>210</v>
      </c>
      <c r="B81" s="2">
        <v>45501</v>
      </c>
      <c r="C81" t="s">
        <v>90</v>
      </c>
      <c r="D81" t="s">
        <v>91</v>
      </c>
      <c r="E81" t="s">
        <v>121</v>
      </c>
      <c r="F81" t="s">
        <v>122</v>
      </c>
      <c r="G81" t="s">
        <v>23</v>
      </c>
      <c r="H81">
        <v>2</v>
      </c>
      <c r="I81" s="17">
        <v>89.99</v>
      </c>
      <c r="J81" t="s">
        <v>38</v>
      </c>
      <c r="K81" t="s">
        <v>39</v>
      </c>
      <c r="L81" t="s">
        <v>26</v>
      </c>
      <c r="M81" s="2">
        <v>44976</v>
      </c>
      <c r="N81" s="17">
        <v>179.98</v>
      </c>
      <c r="O81">
        <f t="shared" ca="1" si="4"/>
        <v>3</v>
      </c>
      <c r="P81" s="2">
        <f t="shared" si="5"/>
        <v>45504</v>
      </c>
      <c r="Q81" t="str">
        <f t="shared" si="6"/>
        <v>OK</v>
      </c>
      <c r="R81" s="18">
        <f t="shared" ca="1" si="7"/>
        <v>46310.670810300922</v>
      </c>
    </row>
    <row r="82" spans="1:18" x14ac:dyDescent="0.25">
      <c r="A82" t="s">
        <v>211</v>
      </c>
      <c r="B82" s="2">
        <v>45501</v>
      </c>
      <c r="C82" t="s">
        <v>151</v>
      </c>
      <c r="D82" t="s">
        <v>152</v>
      </c>
      <c r="E82" t="s">
        <v>109</v>
      </c>
      <c r="F82" t="s">
        <v>110</v>
      </c>
      <c r="G82" t="s">
        <v>50</v>
      </c>
      <c r="H82">
        <v>3</v>
      </c>
      <c r="I82" s="17">
        <v>299.99</v>
      </c>
      <c r="J82" t="s">
        <v>24</v>
      </c>
      <c r="K82" t="s">
        <v>25</v>
      </c>
      <c r="L82" t="s">
        <v>26</v>
      </c>
      <c r="M82" s="2">
        <v>44732</v>
      </c>
      <c r="N82" s="17">
        <v>899.97</v>
      </c>
      <c r="O82">
        <f t="shared" ca="1" si="4"/>
        <v>4</v>
      </c>
      <c r="P82" s="2">
        <f t="shared" si="5"/>
        <v>45504</v>
      </c>
      <c r="Q82" t="str">
        <f t="shared" si="6"/>
        <v>OK</v>
      </c>
      <c r="R82" s="18">
        <f t="shared" ca="1" si="7"/>
        <v>46310.670810300922</v>
      </c>
    </row>
    <row r="83" spans="1:18" x14ac:dyDescent="0.25">
      <c r="A83" t="s">
        <v>212</v>
      </c>
      <c r="B83" s="2">
        <v>45503</v>
      </c>
      <c r="C83" t="s">
        <v>90</v>
      </c>
      <c r="D83" t="s">
        <v>91</v>
      </c>
      <c r="E83" t="s">
        <v>84</v>
      </c>
      <c r="F83" t="s">
        <v>85</v>
      </c>
      <c r="G83" t="s">
        <v>23</v>
      </c>
      <c r="H83">
        <v>2</v>
      </c>
      <c r="I83" s="17">
        <v>699.99</v>
      </c>
      <c r="J83" t="s">
        <v>30</v>
      </c>
      <c r="K83" t="s">
        <v>44</v>
      </c>
      <c r="L83" t="s">
        <v>31</v>
      </c>
      <c r="M83" s="2">
        <v>44999</v>
      </c>
      <c r="N83" s="17">
        <v>1399.98</v>
      </c>
      <c r="O83">
        <f t="shared" ca="1" si="4"/>
        <v>3</v>
      </c>
      <c r="P83" s="2">
        <f t="shared" si="5"/>
        <v>45504</v>
      </c>
      <c r="Q83" t="str">
        <f t="shared" si="6"/>
        <v>OK</v>
      </c>
      <c r="R83" s="18">
        <f t="shared" ca="1" si="7"/>
        <v>46310.670810300922</v>
      </c>
    </row>
    <row r="84" spans="1:18" x14ac:dyDescent="0.25">
      <c r="A84" t="s">
        <v>213</v>
      </c>
      <c r="B84" s="2">
        <v>45504</v>
      </c>
      <c r="C84" t="s">
        <v>124</v>
      </c>
      <c r="D84" t="s">
        <v>125</v>
      </c>
      <c r="E84" t="s">
        <v>65</v>
      </c>
      <c r="F84" t="s">
        <v>66</v>
      </c>
      <c r="G84" t="s">
        <v>23</v>
      </c>
      <c r="H84">
        <v>4</v>
      </c>
      <c r="I84" s="17">
        <v>899.99</v>
      </c>
      <c r="J84" t="s">
        <v>61</v>
      </c>
      <c r="K84" t="s">
        <v>39</v>
      </c>
      <c r="L84" t="s">
        <v>40</v>
      </c>
      <c r="M84" s="2">
        <v>44523</v>
      </c>
      <c r="N84" s="17">
        <v>3599.96</v>
      </c>
      <c r="O84">
        <f t="shared" ca="1" si="4"/>
        <v>4</v>
      </c>
      <c r="P84" s="2">
        <f t="shared" si="5"/>
        <v>45504</v>
      </c>
      <c r="Q84" t="str">
        <f t="shared" si="6"/>
        <v>OK</v>
      </c>
      <c r="R84" s="18">
        <f t="shared" ca="1" si="7"/>
        <v>46310.670810300922</v>
      </c>
    </row>
    <row r="85" spans="1:18" x14ac:dyDescent="0.25">
      <c r="A85" t="s">
        <v>214</v>
      </c>
      <c r="B85" s="2">
        <v>45509</v>
      </c>
      <c r="C85" t="s">
        <v>215</v>
      </c>
      <c r="D85" t="s">
        <v>216</v>
      </c>
      <c r="E85" t="s">
        <v>48</v>
      </c>
      <c r="F85" t="s">
        <v>49</v>
      </c>
      <c r="G85" t="s">
        <v>50</v>
      </c>
      <c r="H85">
        <v>2</v>
      </c>
      <c r="I85" s="17">
        <v>149.99</v>
      </c>
      <c r="J85" t="s">
        <v>30</v>
      </c>
      <c r="K85" t="s">
        <v>54</v>
      </c>
      <c r="L85" t="s">
        <v>26</v>
      </c>
      <c r="M85" s="2">
        <v>44542</v>
      </c>
      <c r="N85" s="17">
        <v>299.98</v>
      </c>
      <c r="O85">
        <f t="shared" ca="1" si="4"/>
        <v>4</v>
      </c>
      <c r="P85" s="2">
        <f t="shared" si="5"/>
        <v>45535</v>
      </c>
      <c r="Q85" t="str">
        <f t="shared" si="6"/>
        <v>OK</v>
      </c>
      <c r="R85" s="18">
        <f t="shared" ca="1" si="7"/>
        <v>46310.670810300922</v>
      </c>
    </row>
    <row r="86" spans="1:18" x14ac:dyDescent="0.25">
      <c r="A86" t="s">
        <v>217</v>
      </c>
      <c r="B86" s="2">
        <v>45510</v>
      </c>
      <c r="C86" t="s">
        <v>106</v>
      </c>
      <c r="D86" t="s">
        <v>107</v>
      </c>
      <c r="E86" t="s">
        <v>48</v>
      </c>
      <c r="F86" t="s">
        <v>49</v>
      </c>
      <c r="G86" t="s">
        <v>50</v>
      </c>
      <c r="H86">
        <v>2</v>
      </c>
      <c r="I86" s="17">
        <v>149.99</v>
      </c>
      <c r="J86" t="s">
        <v>61</v>
      </c>
      <c r="K86" t="s">
        <v>67</v>
      </c>
      <c r="L86" t="s">
        <v>40</v>
      </c>
      <c r="M86" s="2">
        <v>44667</v>
      </c>
      <c r="N86" s="17">
        <v>299.98</v>
      </c>
      <c r="O86">
        <f t="shared" ca="1" si="4"/>
        <v>4</v>
      </c>
      <c r="P86" s="2">
        <f t="shared" si="5"/>
        <v>45535</v>
      </c>
      <c r="Q86" t="str">
        <f t="shared" si="6"/>
        <v>OK</v>
      </c>
      <c r="R86" s="18">
        <f t="shared" ca="1" si="7"/>
        <v>46310.670810300922</v>
      </c>
    </row>
    <row r="87" spans="1:18" x14ac:dyDescent="0.25">
      <c r="A87" t="s">
        <v>218</v>
      </c>
      <c r="B87" s="2">
        <v>45513</v>
      </c>
      <c r="C87" t="s">
        <v>93</v>
      </c>
      <c r="D87" t="s">
        <v>94</v>
      </c>
      <c r="E87" t="s">
        <v>121</v>
      </c>
      <c r="F87" t="s">
        <v>122</v>
      </c>
      <c r="G87" t="s">
        <v>23</v>
      </c>
      <c r="H87">
        <v>1</v>
      </c>
      <c r="I87" s="17">
        <v>89.99</v>
      </c>
      <c r="J87" t="s">
        <v>30</v>
      </c>
      <c r="K87" t="s">
        <v>44</v>
      </c>
      <c r="L87" t="s">
        <v>40</v>
      </c>
      <c r="M87" s="2">
        <v>45393</v>
      </c>
      <c r="N87" s="17">
        <v>89.99</v>
      </c>
      <c r="O87">
        <f t="shared" ca="1" si="4"/>
        <v>2</v>
      </c>
      <c r="P87" s="2">
        <f t="shared" si="5"/>
        <v>45535</v>
      </c>
      <c r="Q87" t="str">
        <f t="shared" si="6"/>
        <v>OK</v>
      </c>
      <c r="R87" s="18">
        <f t="shared" ca="1" si="7"/>
        <v>46310.670810300922</v>
      </c>
    </row>
    <row r="88" spans="1:18" x14ac:dyDescent="0.25">
      <c r="A88" t="s">
        <v>219</v>
      </c>
      <c r="B88" s="2">
        <v>45515</v>
      </c>
      <c r="C88" t="s">
        <v>90</v>
      </c>
      <c r="D88" t="s">
        <v>91</v>
      </c>
      <c r="E88" t="s">
        <v>109</v>
      </c>
      <c r="F88" t="s">
        <v>110</v>
      </c>
      <c r="G88" t="s">
        <v>50</v>
      </c>
      <c r="H88">
        <v>5</v>
      </c>
      <c r="I88" s="17">
        <v>299.99</v>
      </c>
      <c r="J88" t="s">
        <v>30</v>
      </c>
      <c r="K88" t="s">
        <v>44</v>
      </c>
      <c r="L88" t="s">
        <v>26</v>
      </c>
      <c r="M88" s="2">
        <v>44965</v>
      </c>
      <c r="N88" s="17">
        <v>1499.95</v>
      </c>
      <c r="O88">
        <f t="shared" ca="1" si="4"/>
        <v>3</v>
      </c>
      <c r="P88" s="2">
        <f t="shared" si="5"/>
        <v>45535</v>
      </c>
      <c r="Q88" t="str">
        <f t="shared" si="6"/>
        <v>OK</v>
      </c>
      <c r="R88" s="18">
        <f t="shared" ca="1" si="7"/>
        <v>46310.670810300922</v>
      </c>
    </row>
    <row r="89" spans="1:18" x14ac:dyDescent="0.25">
      <c r="A89" t="s">
        <v>220</v>
      </c>
      <c r="B89" s="2">
        <v>45517</v>
      </c>
      <c r="C89" t="s">
        <v>186</v>
      </c>
      <c r="D89" t="s">
        <v>187</v>
      </c>
      <c r="E89" t="s">
        <v>56</v>
      </c>
      <c r="F89" t="s">
        <v>57</v>
      </c>
      <c r="G89" t="s">
        <v>23</v>
      </c>
      <c r="H89">
        <v>4</v>
      </c>
      <c r="I89" s="17">
        <v>149.99</v>
      </c>
      <c r="J89" t="s">
        <v>61</v>
      </c>
      <c r="K89" t="s">
        <v>39</v>
      </c>
      <c r="L89" t="s">
        <v>31</v>
      </c>
      <c r="M89" s="2">
        <v>44820</v>
      </c>
      <c r="N89" s="17">
        <v>599.96</v>
      </c>
      <c r="O89">
        <f t="shared" ca="1" si="4"/>
        <v>4</v>
      </c>
      <c r="P89" s="2">
        <f t="shared" si="5"/>
        <v>45535</v>
      </c>
      <c r="Q89" t="str">
        <f t="shared" si="6"/>
        <v>OK</v>
      </c>
      <c r="R89" s="18">
        <f t="shared" ca="1" si="7"/>
        <v>46310.670810300922</v>
      </c>
    </row>
    <row r="90" spans="1:18" x14ac:dyDescent="0.25">
      <c r="A90" t="s">
        <v>221</v>
      </c>
      <c r="B90" s="2">
        <v>45517</v>
      </c>
      <c r="C90" t="s">
        <v>189</v>
      </c>
      <c r="D90" t="s">
        <v>190</v>
      </c>
      <c r="E90" t="s">
        <v>21</v>
      </c>
      <c r="F90" t="s">
        <v>22</v>
      </c>
      <c r="G90" t="s">
        <v>23</v>
      </c>
      <c r="H90">
        <v>5</v>
      </c>
      <c r="I90" s="17">
        <v>249.99</v>
      </c>
      <c r="J90" t="s">
        <v>38</v>
      </c>
      <c r="K90" t="s">
        <v>67</v>
      </c>
      <c r="L90" t="s">
        <v>31</v>
      </c>
      <c r="M90" s="2">
        <v>44782</v>
      </c>
      <c r="N90" s="17">
        <v>1249.95</v>
      </c>
      <c r="O90">
        <f t="shared" ca="1" si="4"/>
        <v>4</v>
      </c>
      <c r="P90" s="2">
        <f t="shared" si="5"/>
        <v>45535</v>
      </c>
      <c r="Q90" t="str">
        <f t="shared" si="6"/>
        <v>OK</v>
      </c>
      <c r="R90" s="18">
        <f t="shared" ca="1" si="7"/>
        <v>46310.670810300922</v>
      </c>
    </row>
    <row r="91" spans="1:18" x14ac:dyDescent="0.25">
      <c r="A91" t="s">
        <v>222</v>
      </c>
      <c r="B91" s="2">
        <v>45517</v>
      </c>
      <c r="C91" t="s">
        <v>69</v>
      </c>
      <c r="D91" t="s">
        <v>70</v>
      </c>
      <c r="E91" t="s">
        <v>21</v>
      </c>
      <c r="F91" t="s">
        <v>22</v>
      </c>
      <c r="G91" t="s">
        <v>23</v>
      </c>
      <c r="H91">
        <v>3</v>
      </c>
      <c r="I91" s="17">
        <v>249.99</v>
      </c>
      <c r="J91" t="s">
        <v>38</v>
      </c>
      <c r="K91" t="s">
        <v>44</v>
      </c>
      <c r="L91" t="s">
        <v>31</v>
      </c>
      <c r="M91" s="2">
        <v>44465</v>
      </c>
      <c r="N91" s="17">
        <v>749.97</v>
      </c>
      <c r="O91">
        <f t="shared" ca="1" si="4"/>
        <v>5</v>
      </c>
      <c r="P91" s="2">
        <f t="shared" si="5"/>
        <v>45535</v>
      </c>
      <c r="Q91" t="str">
        <f t="shared" si="6"/>
        <v>OK</v>
      </c>
      <c r="R91" s="18">
        <f t="shared" ca="1" si="7"/>
        <v>46310.670810300922</v>
      </c>
    </row>
    <row r="92" spans="1:18" x14ac:dyDescent="0.25">
      <c r="A92" t="s">
        <v>223</v>
      </c>
      <c r="B92" s="2">
        <v>45517</v>
      </c>
      <c r="C92" t="s">
        <v>42</v>
      </c>
      <c r="D92" t="s">
        <v>43</v>
      </c>
      <c r="E92" t="s">
        <v>130</v>
      </c>
      <c r="F92" t="s">
        <v>131</v>
      </c>
      <c r="G92" t="s">
        <v>50</v>
      </c>
      <c r="H92">
        <v>4</v>
      </c>
      <c r="I92" s="17">
        <v>199.99</v>
      </c>
      <c r="J92" t="s">
        <v>24</v>
      </c>
      <c r="K92" t="s">
        <v>44</v>
      </c>
      <c r="L92" t="s">
        <v>40</v>
      </c>
      <c r="M92" s="2">
        <v>44458</v>
      </c>
      <c r="N92" s="17">
        <v>799.96</v>
      </c>
      <c r="O92">
        <f t="shared" ca="1" si="4"/>
        <v>5</v>
      </c>
      <c r="P92" s="2">
        <f t="shared" si="5"/>
        <v>45535</v>
      </c>
      <c r="Q92" t="str">
        <f t="shared" si="6"/>
        <v>OK</v>
      </c>
      <c r="R92" s="18">
        <f t="shared" ca="1" si="7"/>
        <v>46310.670810300922</v>
      </c>
    </row>
    <row r="93" spans="1:18" x14ac:dyDescent="0.25">
      <c r="A93" t="s">
        <v>224</v>
      </c>
      <c r="B93" s="2">
        <v>45519</v>
      </c>
      <c r="C93" t="s">
        <v>162</v>
      </c>
      <c r="D93" t="s">
        <v>163</v>
      </c>
      <c r="E93" t="s">
        <v>130</v>
      </c>
      <c r="F93" t="s">
        <v>131</v>
      </c>
      <c r="G93" t="s">
        <v>50</v>
      </c>
      <c r="H93">
        <v>5</v>
      </c>
      <c r="I93" s="17">
        <v>199.99</v>
      </c>
      <c r="J93" t="s">
        <v>24</v>
      </c>
      <c r="K93" t="s">
        <v>44</v>
      </c>
      <c r="L93" t="s">
        <v>31</v>
      </c>
      <c r="M93" s="2">
        <v>44991</v>
      </c>
      <c r="N93" s="17">
        <v>999.95</v>
      </c>
      <c r="O93">
        <f t="shared" ca="1" si="4"/>
        <v>3</v>
      </c>
      <c r="P93" s="2">
        <f t="shared" si="5"/>
        <v>45535</v>
      </c>
      <c r="Q93" t="str">
        <f t="shared" si="6"/>
        <v>OK</v>
      </c>
      <c r="R93" s="18">
        <f t="shared" ca="1" si="7"/>
        <v>46310.670810300922</v>
      </c>
    </row>
    <row r="94" spans="1:18" x14ac:dyDescent="0.25">
      <c r="A94" t="s">
        <v>225</v>
      </c>
      <c r="B94" s="2">
        <v>45522</v>
      </c>
      <c r="C94" t="s">
        <v>90</v>
      </c>
      <c r="D94" t="s">
        <v>91</v>
      </c>
      <c r="E94" t="s">
        <v>121</v>
      </c>
      <c r="F94" t="s">
        <v>122</v>
      </c>
      <c r="G94" t="s">
        <v>23</v>
      </c>
      <c r="H94">
        <v>2</v>
      </c>
      <c r="I94" s="17">
        <v>89.99</v>
      </c>
      <c r="J94" t="s">
        <v>24</v>
      </c>
      <c r="K94" t="s">
        <v>67</v>
      </c>
      <c r="L94" t="s">
        <v>31</v>
      </c>
      <c r="M94" s="2">
        <v>44972</v>
      </c>
      <c r="N94" s="17">
        <v>179.98</v>
      </c>
      <c r="O94">
        <f t="shared" ca="1" si="4"/>
        <v>3</v>
      </c>
      <c r="P94" s="2">
        <f t="shared" si="5"/>
        <v>45535</v>
      </c>
      <c r="Q94" t="str">
        <f t="shared" si="6"/>
        <v>OK</v>
      </c>
      <c r="R94" s="18">
        <f t="shared" ca="1" si="7"/>
        <v>46310.670810300922</v>
      </c>
    </row>
    <row r="95" spans="1:18" x14ac:dyDescent="0.25">
      <c r="A95" t="s">
        <v>226</v>
      </c>
      <c r="B95" s="2">
        <v>45523</v>
      </c>
      <c r="C95" t="s">
        <v>200</v>
      </c>
      <c r="D95" t="s">
        <v>201</v>
      </c>
      <c r="E95" t="s">
        <v>65</v>
      </c>
      <c r="F95" t="s">
        <v>66</v>
      </c>
      <c r="G95" t="s">
        <v>23</v>
      </c>
      <c r="H95">
        <v>5</v>
      </c>
      <c r="I95" s="17">
        <v>899.99</v>
      </c>
      <c r="J95" t="s">
        <v>61</v>
      </c>
      <c r="K95" t="s">
        <v>67</v>
      </c>
      <c r="L95" t="s">
        <v>26</v>
      </c>
      <c r="M95" s="2">
        <v>44526</v>
      </c>
      <c r="N95" s="17">
        <v>4499.95</v>
      </c>
      <c r="O95">
        <f t="shared" ca="1" si="4"/>
        <v>4</v>
      </c>
      <c r="P95" s="2">
        <f t="shared" si="5"/>
        <v>45535</v>
      </c>
      <c r="Q95" t="str">
        <f t="shared" si="6"/>
        <v>OK</v>
      </c>
      <c r="R95" s="18">
        <f t="shared" ca="1" si="7"/>
        <v>46310.670810300922</v>
      </c>
    </row>
    <row r="96" spans="1:18" x14ac:dyDescent="0.25">
      <c r="A96" t="s">
        <v>227</v>
      </c>
      <c r="B96" s="2">
        <v>45523</v>
      </c>
      <c r="C96" t="s">
        <v>112</v>
      </c>
      <c r="D96" t="s">
        <v>113</v>
      </c>
      <c r="E96" t="s">
        <v>56</v>
      </c>
      <c r="F96" t="s">
        <v>57</v>
      </c>
      <c r="G96" t="s">
        <v>23</v>
      </c>
      <c r="H96">
        <v>3</v>
      </c>
      <c r="I96" s="17">
        <v>149.99</v>
      </c>
      <c r="J96" t="s">
        <v>38</v>
      </c>
      <c r="K96" t="s">
        <v>67</v>
      </c>
      <c r="L96" t="s">
        <v>26</v>
      </c>
      <c r="M96" s="2">
        <v>44574</v>
      </c>
      <c r="N96" s="17">
        <v>449.97</v>
      </c>
      <c r="O96">
        <f t="shared" ca="1" si="4"/>
        <v>4</v>
      </c>
      <c r="P96" s="2">
        <f t="shared" si="5"/>
        <v>45535</v>
      </c>
      <c r="Q96" t="str">
        <f t="shared" si="6"/>
        <v>OK</v>
      </c>
      <c r="R96" s="18">
        <f t="shared" ca="1" si="7"/>
        <v>46310.670810300922</v>
      </c>
    </row>
    <row r="97" spans="1:18" x14ac:dyDescent="0.25">
      <c r="A97" t="s">
        <v>228</v>
      </c>
      <c r="B97" s="2">
        <v>45526</v>
      </c>
      <c r="C97" t="s">
        <v>106</v>
      </c>
      <c r="D97" t="s">
        <v>107</v>
      </c>
      <c r="E97" t="s">
        <v>48</v>
      </c>
      <c r="F97" t="s">
        <v>49</v>
      </c>
      <c r="G97" t="s">
        <v>50</v>
      </c>
      <c r="H97">
        <v>5</v>
      </c>
      <c r="I97" s="17">
        <v>149.99</v>
      </c>
      <c r="J97" t="s">
        <v>30</v>
      </c>
      <c r="K97" t="s">
        <v>25</v>
      </c>
      <c r="L97" t="s">
        <v>26</v>
      </c>
      <c r="M97" s="2">
        <v>45310</v>
      </c>
      <c r="N97" s="17">
        <v>749.95</v>
      </c>
      <c r="O97">
        <f t="shared" ca="1" si="4"/>
        <v>2</v>
      </c>
      <c r="P97" s="2">
        <f t="shared" si="5"/>
        <v>45535</v>
      </c>
      <c r="Q97" t="str">
        <f t="shared" si="6"/>
        <v>OK</v>
      </c>
      <c r="R97" s="18">
        <f t="shared" ca="1" si="7"/>
        <v>46310.670810300922</v>
      </c>
    </row>
    <row r="98" spans="1:18" x14ac:dyDescent="0.25">
      <c r="A98" t="s">
        <v>229</v>
      </c>
      <c r="B98" s="2">
        <v>45528</v>
      </c>
      <c r="C98" t="s">
        <v>230</v>
      </c>
      <c r="D98" t="s">
        <v>231</v>
      </c>
      <c r="E98" t="s">
        <v>118</v>
      </c>
      <c r="F98" t="s">
        <v>119</v>
      </c>
      <c r="G98" t="s">
        <v>37</v>
      </c>
      <c r="H98">
        <v>3</v>
      </c>
      <c r="I98" s="17">
        <v>79.989999999999995</v>
      </c>
      <c r="J98" t="s">
        <v>24</v>
      </c>
      <c r="K98" t="s">
        <v>25</v>
      </c>
      <c r="L98" t="s">
        <v>31</v>
      </c>
      <c r="M98" s="2">
        <v>44779</v>
      </c>
      <c r="N98" s="17">
        <v>239.97</v>
      </c>
      <c r="O98">
        <f t="shared" ca="1" si="4"/>
        <v>4</v>
      </c>
      <c r="P98" s="2">
        <f t="shared" si="5"/>
        <v>45535</v>
      </c>
      <c r="Q98" t="str">
        <f t="shared" si="6"/>
        <v>OK</v>
      </c>
      <c r="R98" s="18">
        <f t="shared" ca="1" si="7"/>
        <v>46310.670810300922</v>
      </c>
    </row>
    <row r="99" spans="1:18" x14ac:dyDescent="0.25">
      <c r="A99" t="s">
        <v>232</v>
      </c>
      <c r="B99" s="2">
        <v>45528</v>
      </c>
      <c r="C99" t="s">
        <v>148</v>
      </c>
      <c r="D99" t="s">
        <v>149</v>
      </c>
      <c r="E99" t="s">
        <v>21</v>
      </c>
      <c r="F99" t="s">
        <v>22</v>
      </c>
      <c r="G99" t="s">
        <v>23</v>
      </c>
      <c r="H99">
        <v>2</v>
      </c>
      <c r="I99" s="17">
        <v>249.99</v>
      </c>
      <c r="J99" t="s">
        <v>24</v>
      </c>
      <c r="K99" t="s">
        <v>39</v>
      </c>
      <c r="L99" t="s">
        <v>40</v>
      </c>
      <c r="M99" s="2">
        <v>44572</v>
      </c>
      <c r="N99" s="17">
        <v>499.98</v>
      </c>
      <c r="O99">
        <f t="shared" ca="1" si="4"/>
        <v>4</v>
      </c>
      <c r="P99" s="2">
        <f t="shared" si="5"/>
        <v>45535</v>
      </c>
      <c r="Q99" t="str">
        <f t="shared" si="6"/>
        <v>OK</v>
      </c>
      <c r="R99" s="18">
        <f t="shared" ca="1" si="7"/>
        <v>46310.670810300922</v>
      </c>
    </row>
    <row r="100" spans="1:18" x14ac:dyDescent="0.25">
      <c r="A100" t="s">
        <v>233</v>
      </c>
      <c r="B100" s="2">
        <v>45532</v>
      </c>
      <c r="C100" t="s">
        <v>200</v>
      </c>
      <c r="D100" t="s">
        <v>201</v>
      </c>
      <c r="E100" t="s">
        <v>84</v>
      </c>
      <c r="F100" t="s">
        <v>85</v>
      </c>
      <c r="G100" t="s">
        <v>23</v>
      </c>
      <c r="H100">
        <v>1</v>
      </c>
      <c r="I100" s="17">
        <v>699.99</v>
      </c>
      <c r="J100" t="s">
        <v>24</v>
      </c>
      <c r="K100" t="s">
        <v>25</v>
      </c>
      <c r="L100" t="s">
        <v>31</v>
      </c>
      <c r="M100" s="2">
        <v>44497</v>
      </c>
      <c r="N100" s="17">
        <v>699.99</v>
      </c>
      <c r="O100">
        <f t="shared" ca="1" si="4"/>
        <v>4</v>
      </c>
      <c r="P100" s="2">
        <f t="shared" si="5"/>
        <v>45535</v>
      </c>
      <c r="Q100" t="str">
        <f t="shared" si="6"/>
        <v>OK</v>
      </c>
      <c r="R100" s="18">
        <f t="shared" ca="1" si="7"/>
        <v>46310.670810300922</v>
      </c>
    </row>
    <row r="101" spans="1:18" x14ac:dyDescent="0.25">
      <c r="A101" t="s">
        <v>234</v>
      </c>
      <c r="B101" s="2">
        <v>45532</v>
      </c>
      <c r="C101" t="s">
        <v>235</v>
      </c>
      <c r="D101" t="s">
        <v>236</v>
      </c>
      <c r="E101" t="s">
        <v>56</v>
      </c>
      <c r="F101" t="s">
        <v>57</v>
      </c>
      <c r="G101" t="s">
        <v>23</v>
      </c>
      <c r="H101">
        <v>3</v>
      </c>
      <c r="I101" s="17">
        <v>149.99</v>
      </c>
      <c r="J101" t="s">
        <v>24</v>
      </c>
      <c r="K101" t="s">
        <v>54</v>
      </c>
      <c r="L101" t="s">
        <v>31</v>
      </c>
      <c r="M101" s="2">
        <v>45212</v>
      </c>
      <c r="N101" s="17">
        <v>449.97</v>
      </c>
      <c r="O101">
        <f t="shared" ca="1" si="4"/>
        <v>3</v>
      </c>
      <c r="P101" s="2">
        <f t="shared" si="5"/>
        <v>45535</v>
      </c>
      <c r="Q101" t="str">
        <f t="shared" si="6"/>
        <v>OK</v>
      </c>
      <c r="R101" s="18">
        <f t="shared" ca="1" si="7"/>
        <v>46310.670810300922</v>
      </c>
    </row>
    <row r="102" spans="1:18" x14ac:dyDescent="0.25">
      <c r="A102" t="s">
        <v>237</v>
      </c>
      <c r="B102" s="2">
        <v>45534</v>
      </c>
      <c r="C102" t="s">
        <v>238</v>
      </c>
      <c r="D102" t="s">
        <v>239</v>
      </c>
      <c r="E102" t="s">
        <v>84</v>
      </c>
      <c r="F102" t="s">
        <v>85</v>
      </c>
      <c r="G102" t="s">
        <v>23</v>
      </c>
      <c r="H102">
        <v>2</v>
      </c>
      <c r="I102" s="17">
        <v>699.99</v>
      </c>
      <c r="J102" t="s">
        <v>30</v>
      </c>
      <c r="K102" t="s">
        <v>44</v>
      </c>
      <c r="L102" t="s">
        <v>31</v>
      </c>
      <c r="M102" s="2">
        <v>44421</v>
      </c>
      <c r="N102" s="17">
        <v>1399.98</v>
      </c>
      <c r="O102">
        <f t="shared" ca="1" si="4"/>
        <v>5</v>
      </c>
      <c r="P102" s="2">
        <f t="shared" si="5"/>
        <v>45535</v>
      </c>
      <c r="Q102" t="str">
        <f t="shared" si="6"/>
        <v>OK</v>
      </c>
      <c r="R102" s="18">
        <f t="shared" ca="1" si="7"/>
        <v>46310.670810300922</v>
      </c>
    </row>
    <row r="103" spans="1:18" x14ac:dyDescent="0.25">
      <c r="A103" t="s">
        <v>240</v>
      </c>
      <c r="B103" s="2">
        <v>45537</v>
      </c>
      <c r="C103" t="s">
        <v>235</v>
      </c>
      <c r="D103" t="s">
        <v>236</v>
      </c>
      <c r="E103" t="s">
        <v>21</v>
      </c>
      <c r="F103" t="s">
        <v>22</v>
      </c>
      <c r="G103" t="s">
        <v>23</v>
      </c>
      <c r="H103">
        <v>1</v>
      </c>
      <c r="I103" s="17">
        <v>249.99</v>
      </c>
      <c r="J103" t="s">
        <v>30</v>
      </c>
      <c r="K103" t="s">
        <v>54</v>
      </c>
      <c r="L103" t="s">
        <v>31</v>
      </c>
      <c r="M103" s="2">
        <v>44685</v>
      </c>
      <c r="N103" s="17">
        <v>249.99</v>
      </c>
      <c r="O103">
        <f t="shared" ca="1" si="4"/>
        <v>4</v>
      </c>
      <c r="P103" s="2">
        <f t="shared" si="5"/>
        <v>45565</v>
      </c>
      <c r="Q103" t="str">
        <f t="shared" si="6"/>
        <v>OK</v>
      </c>
      <c r="R103" s="18">
        <f t="shared" ca="1" si="7"/>
        <v>46310.670810300922</v>
      </c>
    </row>
    <row r="104" spans="1:18" x14ac:dyDescent="0.25">
      <c r="A104" t="s">
        <v>241</v>
      </c>
      <c r="B104" s="2">
        <v>45537</v>
      </c>
      <c r="C104" t="s">
        <v>19</v>
      </c>
      <c r="D104" t="s">
        <v>20</v>
      </c>
      <c r="E104" t="s">
        <v>21</v>
      </c>
      <c r="F104" t="s">
        <v>22</v>
      </c>
      <c r="G104" t="s">
        <v>23</v>
      </c>
      <c r="H104">
        <v>1</v>
      </c>
      <c r="I104" s="17">
        <v>249.99</v>
      </c>
      <c r="J104" t="s">
        <v>61</v>
      </c>
      <c r="K104" t="s">
        <v>44</v>
      </c>
      <c r="L104" t="s">
        <v>31</v>
      </c>
      <c r="M104" s="2">
        <v>45332</v>
      </c>
      <c r="N104" s="17">
        <v>249.99</v>
      </c>
      <c r="O104">
        <f t="shared" ca="1" si="4"/>
        <v>2</v>
      </c>
      <c r="P104" s="2">
        <f t="shared" si="5"/>
        <v>45565</v>
      </c>
      <c r="Q104" t="str">
        <f t="shared" si="6"/>
        <v>OK</v>
      </c>
      <c r="R104" s="18">
        <f t="shared" ca="1" si="7"/>
        <v>46310.670810300922</v>
      </c>
    </row>
    <row r="105" spans="1:18" x14ac:dyDescent="0.25">
      <c r="A105" t="s">
        <v>242</v>
      </c>
      <c r="B105" s="2">
        <v>45538</v>
      </c>
      <c r="C105" t="s">
        <v>230</v>
      </c>
      <c r="D105" t="s">
        <v>231</v>
      </c>
      <c r="E105" t="s">
        <v>84</v>
      </c>
      <c r="F105" t="s">
        <v>85</v>
      </c>
      <c r="G105" t="s">
        <v>23</v>
      </c>
      <c r="H105">
        <v>2</v>
      </c>
      <c r="I105" s="17">
        <v>699.99</v>
      </c>
      <c r="J105" t="s">
        <v>61</v>
      </c>
      <c r="K105" t="s">
        <v>25</v>
      </c>
      <c r="L105" t="s">
        <v>31</v>
      </c>
      <c r="M105" s="2">
        <v>44870</v>
      </c>
      <c r="N105" s="17">
        <v>1399.98</v>
      </c>
      <c r="O105">
        <f t="shared" ca="1" si="4"/>
        <v>3</v>
      </c>
      <c r="P105" s="2">
        <f t="shared" si="5"/>
        <v>45565</v>
      </c>
      <c r="Q105" t="str">
        <f t="shared" si="6"/>
        <v>OK</v>
      </c>
      <c r="R105" s="18">
        <f t="shared" ca="1" si="7"/>
        <v>46310.670810300922</v>
      </c>
    </row>
    <row r="106" spans="1:18" x14ac:dyDescent="0.25">
      <c r="A106" t="s">
        <v>243</v>
      </c>
      <c r="B106" s="2">
        <v>45541</v>
      </c>
      <c r="C106" t="s">
        <v>142</v>
      </c>
      <c r="D106" t="s">
        <v>143</v>
      </c>
      <c r="E106" t="s">
        <v>35</v>
      </c>
      <c r="F106" t="s">
        <v>36</v>
      </c>
      <c r="G106" t="s">
        <v>37</v>
      </c>
      <c r="H106">
        <v>3</v>
      </c>
      <c r="I106" s="17">
        <v>59.99</v>
      </c>
      <c r="J106" t="s">
        <v>30</v>
      </c>
      <c r="K106" t="s">
        <v>25</v>
      </c>
      <c r="L106" t="s">
        <v>31</v>
      </c>
      <c r="M106" s="2">
        <v>44717</v>
      </c>
      <c r="N106" s="17">
        <v>179.97</v>
      </c>
      <c r="O106">
        <f t="shared" ca="1" si="4"/>
        <v>4</v>
      </c>
      <c r="P106" s="2">
        <f t="shared" si="5"/>
        <v>45565</v>
      </c>
      <c r="Q106" t="str">
        <f t="shared" si="6"/>
        <v>OK</v>
      </c>
      <c r="R106" s="18">
        <f t="shared" ca="1" si="7"/>
        <v>46310.670810300922</v>
      </c>
    </row>
    <row r="107" spans="1:18" x14ac:dyDescent="0.25">
      <c r="A107" t="s">
        <v>244</v>
      </c>
      <c r="B107" s="2">
        <v>45544</v>
      </c>
      <c r="C107" t="s">
        <v>136</v>
      </c>
      <c r="D107" t="s">
        <v>137</v>
      </c>
      <c r="E107" t="s">
        <v>35</v>
      </c>
      <c r="F107" t="s">
        <v>36</v>
      </c>
      <c r="G107" t="s">
        <v>37</v>
      </c>
      <c r="H107">
        <v>3</v>
      </c>
      <c r="I107" s="17">
        <v>59.99</v>
      </c>
      <c r="J107" t="s">
        <v>38</v>
      </c>
      <c r="K107" t="s">
        <v>67</v>
      </c>
      <c r="L107" t="s">
        <v>40</v>
      </c>
      <c r="M107" s="2">
        <v>44748</v>
      </c>
      <c r="N107" s="17">
        <v>179.97</v>
      </c>
      <c r="O107">
        <f t="shared" ca="1" si="4"/>
        <v>4</v>
      </c>
      <c r="P107" s="2">
        <f t="shared" si="5"/>
        <v>45565</v>
      </c>
      <c r="Q107" t="str">
        <f t="shared" si="6"/>
        <v>OK</v>
      </c>
      <c r="R107" s="18">
        <f t="shared" ca="1" si="7"/>
        <v>46310.670810300922</v>
      </c>
    </row>
    <row r="108" spans="1:18" x14ac:dyDescent="0.25">
      <c r="A108" t="s">
        <v>245</v>
      </c>
      <c r="B108" s="2">
        <v>45544</v>
      </c>
      <c r="C108" t="s">
        <v>145</v>
      </c>
      <c r="D108" t="s">
        <v>146</v>
      </c>
      <c r="E108" t="s">
        <v>118</v>
      </c>
      <c r="F108" t="s">
        <v>119</v>
      </c>
      <c r="G108" t="s">
        <v>37</v>
      </c>
      <c r="H108">
        <v>4</v>
      </c>
      <c r="I108" s="17">
        <v>79.989999999999995</v>
      </c>
      <c r="J108" t="s">
        <v>24</v>
      </c>
      <c r="K108" t="s">
        <v>44</v>
      </c>
      <c r="L108" t="s">
        <v>26</v>
      </c>
      <c r="M108" s="2">
        <v>44530</v>
      </c>
      <c r="N108" s="17">
        <v>319.95999999999998</v>
      </c>
      <c r="O108">
        <f t="shared" ca="1" si="4"/>
        <v>4</v>
      </c>
      <c r="P108" s="2">
        <f t="shared" si="5"/>
        <v>45565</v>
      </c>
      <c r="Q108" t="str">
        <f t="shared" si="6"/>
        <v>OK</v>
      </c>
      <c r="R108" s="18">
        <f t="shared" ca="1" si="7"/>
        <v>46310.670810300922</v>
      </c>
    </row>
    <row r="109" spans="1:18" x14ac:dyDescent="0.25">
      <c r="A109" t="s">
        <v>246</v>
      </c>
      <c r="B109" s="2">
        <v>45545</v>
      </c>
      <c r="C109" t="s">
        <v>59</v>
      </c>
      <c r="D109" t="s">
        <v>60</v>
      </c>
      <c r="E109" t="s">
        <v>118</v>
      </c>
      <c r="F109" t="s">
        <v>119</v>
      </c>
      <c r="G109" t="s">
        <v>37</v>
      </c>
      <c r="H109">
        <v>1</v>
      </c>
      <c r="I109" s="17">
        <v>79.989999999999995</v>
      </c>
      <c r="J109" t="s">
        <v>24</v>
      </c>
      <c r="K109" t="s">
        <v>54</v>
      </c>
      <c r="L109" t="s">
        <v>26</v>
      </c>
      <c r="M109" s="2">
        <v>44693</v>
      </c>
      <c r="N109" s="17">
        <v>79.989999999999995</v>
      </c>
      <c r="O109">
        <f t="shared" ca="1" si="4"/>
        <v>4</v>
      </c>
      <c r="P109" s="2">
        <f t="shared" si="5"/>
        <v>45565</v>
      </c>
      <c r="Q109" t="str">
        <f t="shared" si="6"/>
        <v>OK</v>
      </c>
      <c r="R109" s="18">
        <f t="shared" ca="1" si="7"/>
        <v>46310.670810300922</v>
      </c>
    </row>
    <row r="110" spans="1:18" x14ac:dyDescent="0.25">
      <c r="A110" t="s">
        <v>247</v>
      </c>
      <c r="B110" s="2">
        <v>45547</v>
      </c>
      <c r="C110" t="s">
        <v>52</v>
      </c>
      <c r="D110" t="s">
        <v>53</v>
      </c>
      <c r="E110" t="s">
        <v>109</v>
      </c>
      <c r="F110" t="s">
        <v>110</v>
      </c>
      <c r="G110" t="s">
        <v>50</v>
      </c>
      <c r="H110">
        <v>3</v>
      </c>
      <c r="I110" s="17">
        <v>299.99</v>
      </c>
      <c r="J110" t="s">
        <v>30</v>
      </c>
      <c r="K110" t="s">
        <v>25</v>
      </c>
      <c r="L110" t="s">
        <v>31</v>
      </c>
      <c r="M110" s="2">
        <v>44494</v>
      </c>
      <c r="N110" s="17">
        <v>899.97</v>
      </c>
      <c r="O110">
        <f t="shared" ca="1" si="4"/>
        <v>4</v>
      </c>
      <c r="P110" s="2">
        <f t="shared" si="5"/>
        <v>45565</v>
      </c>
      <c r="Q110" t="str">
        <f t="shared" si="6"/>
        <v>OK</v>
      </c>
      <c r="R110" s="18">
        <f t="shared" ca="1" si="7"/>
        <v>46310.670810300922</v>
      </c>
    </row>
    <row r="111" spans="1:18" x14ac:dyDescent="0.25">
      <c r="A111" t="s">
        <v>248</v>
      </c>
      <c r="B111" s="2">
        <v>45548</v>
      </c>
      <c r="C111" t="s">
        <v>42</v>
      </c>
      <c r="D111" t="s">
        <v>43</v>
      </c>
      <c r="E111" t="s">
        <v>121</v>
      </c>
      <c r="F111" t="s">
        <v>122</v>
      </c>
      <c r="G111" t="s">
        <v>23</v>
      </c>
      <c r="H111">
        <v>2</v>
      </c>
      <c r="I111" s="17">
        <v>89.99</v>
      </c>
      <c r="J111" t="s">
        <v>30</v>
      </c>
      <c r="K111" t="s">
        <v>39</v>
      </c>
      <c r="L111" t="s">
        <v>31</v>
      </c>
      <c r="M111" s="2">
        <v>44641</v>
      </c>
      <c r="N111" s="17">
        <v>179.98</v>
      </c>
      <c r="O111">
        <f t="shared" ca="1" si="4"/>
        <v>4</v>
      </c>
      <c r="P111" s="2">
        <f t="shared" si="5"/>
        <v>45565</v>
      </c>
      <c r="Q111" t="str">
        <f t="shared" si="6"/>
        <v>OK</v>
      </c>
      <c r="R111" s="18">
        <f t="shared" ca="1" si="7"/>
        <v>46310.670810300922</v>
      </c>
    </row>
    <row r="112" spans="1:18" x14ac:dyDescent="0.25">
      <c r="A112" t="s">
        <v>249</v>
      </c>
      <c r="B112" s="2">
        <v>45550</v>
      </c>
      <c r="C112" t="s">
        <v>250</v>
      </c>
      <c r="D112" t="s">
        <v>251</v>
      </c>
      <c r="E112" t="s">
        <v>56</v>
      </c>
      <c r="F112" t="s">
        <v>57</v>
      </c>
      <c r="G112" t="s">
        <v>23</v>
      </c>
      <c r="H112">
        <v>4</v>
      </c>
      <c r="I112" s="17">
        <v>149.99</v>
      </c>
      <c r="J112" t="s">
        <v>24</v>
      </c>
      <c r="K112" t="s">
        <v>44</v>
      </c>
      <c r="L112" t="s">
        <v>26</v>
      </c>
      <c r="M112" s="2">
        <v>44909</v>
      </c>
      <c r="N112" s="17">
        <v>599.96</v>
      </c>
      <c r="O112">
        <f t="shared" ca="1" si="4"/>
        <v>3</v>
      </c>
      <c r="P112" s="2">
        <f t="shared" si="5"/>
        <v>45565</v>
      </c>
      <c r="Q112" t="str">
        <f t="shared" si="6"/>
        <v>OK</v>
      </c>
      <c r="R112" s="18">
        <f t="shared" ca="1" si="7"/>
        <v>46310.670810300922</v>
      </c>
    </row>
    <row r="113" spans="1:18" x14ac:dyDescent="0.25">
      <c r="A113" t="s">
        <v>252</v>
      </c>
      <c r="B113" s="2">
        <v>45551</v>
      </c>
      <c r="C113" t="s">
        <v>69</v>
      </c>
      <c r="D113" t="s">
        <v>70</v>
      </c>
      <c r="E113" t="s">
        <v>21</v>
      </c>
      <c r="F113" t="s">
        <v>22</v>
      </c>
      <c r="G113" t="s">
        <v>23</v>
      </c>
      <c r="H113">
        <v>2</v>
      </c>
      <c r="I113" s="17">
        <v>249.99</v>
      </c>
      <c r="J113" t="s">
        <v>38</v>
      </c>
      <c r="K113" t="s">
        <v>39</v>
      </c>
      <c r="L113" t="s">
        <v>26</v>
      </c>
      <c r="M113" s="2">
        <v>44993</v>
      </c>
      <c r="N113" s="17">
        <v>499.98</v>
      </c>
      <c r="O113">
        <f t="shared" ca="1" si="4"/>
        <v>3</v>
      </c>
      <c r="P113" s="2">
        <f t="shared" si="5"/>
        <v>45565</v>
      </c>
      <c r="Q113" t="str">
        <f t="shared" si="6"/>
        <v>OK</v>
      </c>
      <c r="R113" s="18">
        <f t="shared" ca="1" si="7"/>
        <v>46310.670810300922</v>
      </c>
    </row>
    <row r="114" spans="1:18" x14ac:dyDescent="0.25">
      <c r="A114" t="s">
        <v>253</v>
      </c>
      <c r="B114" s="2">
        <v>45551</v>
      </c>
      <c r="C114" t="s">
        <v>158</v>
      </c>
      <c r="D114" t="s">
        <v>159</v>
      </c>
      <c r="E114" t="s">
        <v>130</v>
      </c>
      <c r="F114" t="s">
        <v>131</v>
      </c>
      <c r="G114" t="s">
        <v>50</v>
      </c>
      <c r="H114">
        <v>4</v>
      </c>
      <c r="I114" s="17">
        <v>199.99</v>
      </c>
      <c r="J114" t="s">
        <v>61</v>
      </c>
      <c r="K114" t="s">
        <v>67</v>
      </c>
      <c r="L114" t="s">
        <v>26</v>
      </c>
      <c r="M114" s="2">
        <v>44458</v>
      </c>
      <c r="N114" s="17">
        <v>799.96</v>
      </c>
      <c r="O114">
        <f t="shared" ca="1" si="4"/>
        <v>5</v>
      </c>
      <c r="P114" s="2">
        <f t="shared" si="5"/>
        <v>45565</v>
      </c>
      <c r="Q114" t="str">
        <f t="shared" si="6"/>
        <v>OK</v>
      </c>
      <c r="R114" s="18">
        <f t="shared" ca="1" si="7"/>
        <v>46310.670810300922</v>
      </c>
    </row>
    <row r="115" spans="1:18" x14ac:dyDescent="0.25">
      <c r="A115" t="s">
        <v>254</v>
      </c>
      <c r="B115" s="2">
        <v>45554</v>
      </c>
      <c r="C115" t="s">
        <v>151</v>
      </c>
      <c r="D115" t="s">
        <v>152</v>
      </c>
      <c r="E115" t="s">
        <v>121</v>
      </c>
      <c r="F115" t="s">
        <v>122</v>
      </c>
      <c r="G115" t="s">
        <v>23</v>
      </c>
      <c r="H115">
        <v>5</v>
      </c>
      <c r="I115" s="17">
        <v>89.99</v>
      </c>
      <c r="J115" t="s">
        <v>30</v>
      </c>
      <c r="K115" t="s">
        <v>67</v>
      </c>
      <c r="L115" t="s">
        <v>31</v>
      </c>
      <c r="M115" s="2">
        <v>44446</v>
      </c>
      <c r="N115" s="17">
        <v>449.95</v>
      </c>
      <c r="O115">
        <f t="shared" ca="1" si="4"/>
        <v>5</v>
      </c>
      <c r="P115" s="2">
        <f t="shared" si="5"/>
        <v>45565</v>
      </c>
      <c r="Q115" t="str">
        <f t="shared" si="6"/>
        <v>OK</v>
      </c>
      <c r="R115" s="18">
        <f t="shared" ca="1" si="7"/>
        <v>46310.670810300922</v>
      </c>
    </row>
    <row r="116" spans="1:18" x14ac:dyDescent="0.25">
      <c r="A116" t="s">
        <v>255</v>
      </c>
      <c r="B116" s="2">
        <v>45554</v>
      </c>
      <c r="C116" t="s">
        <v>256</v>
      </c>
      <c r="D116" t="s">
        <v>257</v>
      </c>
      <c r="E116" t="s">
        <v>56</v>
      </c>
      <c r="F116" t="s">
        <v>57</v>
      </c>
      <c r="G116" t="s">
        <v>23</v>
      </c>
      <c r="H116">
        <v>1</v>
      </c>
      <c r="I116" s="17">
        <v>149.99</v>
      </c>
      <c r="J116" t="s">
        <v>38</v>
      </c>
      <c r="K116" t="s">
        <v>67</v>
      </c>
      <c r="L116" t="s">
        <v>40</v>
      </c>
      <c r="M116" s="2">
        <v>44482</v>
      </c>
      <c r="N116" s="17">
        <v>149.99</v>
      </c>
      <c r="O116">
        <f t="shared" ca="1" si="4"/>
        <v>5</v>
      </c>
      <c r="P116" s="2">
        <f t="shared" si="5"/>
        <v>45565</v>
      </c>
      <c r="Q116" t="str">
        <f t="shared" si="6"/>
        <v>OK</v>
      </c>
      <c r="R116" s="18">
        <f t="shared" ca="1" si="7"/>
        <v>46310.670810300922</v>
      </c>
    </row>
    <row r="117" spans="1:18" x14ac:dyDescent="0.25">
      <c r="A117" t="s">
        <v>258</v>
      </c>
      <c r="B117" s="2">
        <v>45554</v>
      </c>
      <c r="C117" t="s">
        <v>76</v>
      </c>
      <c r="D117" t="s">
        <v>77</v>
      </c>
      <c r="E117" t="s">
        <v>84</v>
      </c>
      <c r="F117" t="s">
        <v>85</v>
      </c>
      <c r="G117" t="s">
        <v>23</v>
      </c>
      <c r="H117">
        <v>4</v>
      </c>
      <c r="I117" s="17">
        <v>699.99</v>
      </c>
      <c r="J117" t="s">
        <v>38</v>
      </c>
      <c r="K117" t="s">
        <v>39</v>
      </c>
      <c r="L117" t="s">
        <v>26</v>
      </c>
      <c r="M117" s="2">
        <v>44618</v>
      </c>
      <c r="N117" s="17">
        <v>2799.96</v>
      </c>
      <c r="O117">
        <f t="shared" ca="1" si="4"/>
        <v>4</v>
      </c>
      <c r="P117" s="2">
        <f t="shared" si="5"/>
        <v>45565</v>
      </c>
      <c r="Q117" t="str">
        <f t="shared" si="6"/>
        <v>OK</v>
      </c>
      <c r="R117" s="18">
        <f t="shared" ca="1" si="7"/>
        <v>46310.670810300922</v>
      </c>
    </row>
    <row r="118" spans="1:18" x14ac:dyDescent="0.25">
      <c r="A118" t="s">
        <v>259</v>
      </c>
      <c r="B118" s="2">
        <v>45559</v>
      </c>
      <c r="C118" t="s">
        <v>238</v>
      </c>
      <c r="D118" t="s">
        <v>239</v>
      </c>
      <c r="E118" t="s">
        <v>65</v>
      </c>
      <c r="F118" t="s">
        <v>66</v>
      </c>
      <c r="G118" t="s">
        <v>23</v>
      </c>
      <c r="H118">
        <v>3</v>
      </c>
      <c r="I118" s="17">
        <v>899.99</v>
      </c>
      <c r="J118" t="s">
        <v>30</v>
      </c>
      <c r="K118" t="s">
        <v>44</v>
      </c>
      <c r="L118" t="s">
        <v>40</v>
      </c>
      <c r="M118" s="2">
        <v>45157</v>
      </c>
      <c r="N118" s="17">
        <v>2699.97</v>
      </c>
      <c r="O118">
        <f t="shared" ca="1" si="4"/>
        <v>3</v>
      </c>
      <c r="P118" s="2">
        <f t="shared" si="5"/>
        <v>45565</v>
      </c>
      <c r="Q118" t="str">
        <f t="shared" si="6"/>
        <v>OK</v>
      </c>
      <c r="R118" s="18">
        <f t="shared" ca="1" si="7"/>
        <v>46310.670810300922</v>
      </c>
    </row>
    <row r="119" spans="1:18" x14ac:dyDescent="0.25">
      <c r="A119" t="s">
        <v>260</v>
      </c>
      <c r="B119" s="2">
        <v>45560</v>
      </c>
      <c r="C119" t="s">
        <v>116</v>
      </c>
      <c r="D119" t="s">
        <v>117</v>
      </c>
      <c r="E119" t="s">
        <v>48</v>
      </c>
      <c r="F119" t="s">
        <v>49</v>
      </c>
      <c r="G119" t="s">
        <v>50</v>
      </c>
      <c r="H119">
        <v>3</v>
      </c>
      <c r="I119" s="17">
        <v>149.99</v>
      </c>
      <c r="J119" t="s">
        <v>38</v>
      </c>
      <c r="K119" t="s">
        <v>67</v>
      </c>
      <c r="L119" t="s">
        <v>26</v>
      </c>
      <c r="M119" s="2">
        <v>44886</v>
      </c>
      <c r="N119" s="17">
        <v>449.97</v>
      </c>
      <c r="O119">
        <f t="shared" ca="1" si="4"/>
        <v>3</v>
      </c>
      <c r="P119" s="2">
        <f t="shared" si="5"/>
        <v>45565</v>
      </c>
      <c r="Q119" t="str">
        <f t="shared" si="6"/>
        <v>OK</v>
      </c>
      <c r="R119" s="18">
        <f t="shared" ca="1" si="7"/>
        <v>46310.670810300922</v>
      </c>
    </row>
    <row r="120" spans="1:18" x14ac:dyDescent="0.25">
      <c r="A120" t="s">
        <v>261</v>
      </c>
      <c r="B120" s="2">
        <v>45563</v>
      </c>
      <c r="C120" t="s">
        <v>103</v>
      </c>
      <c r="D120" t="s">
        <v>104</v>
      </c>
      <c r="E120" t="s">
        <v>109</v>
      </c>
      <c r="F120" t="s">
        <v>110</v>
      </c>
      <c r="G120" t="s">
        <v>50</v>
      </c>
      <c r="H120">
        <v>2</v>
      </c>
      <c r="I120" s="17">
        <v>299.99</v>
      </c>
      <c r="J120" t="s">
        <v>61</v>
      </c>
      <c r="K120" t="s">
        <v>25</v>
      </c>
      <c r="L120" t="s">
        <v>26</v>
      </c>
      <c r="M120" s="2">
        <v>44569</v>
      </c>
      <c r="N120" s="17">
        <v>599.98</v>
      </c>
      <c r="O120">
        <f t="shared" ca="1" si="4"/>
        <v>4</v>
      </c>
      <c r="P120" s="2">
        <f t="shared" si="5"/>
        <v>45565</v>
      </c>
      <c r="Q120" t="str">
        <f t="shared" si="6"/>
        <v>OK</v>
      </c>
      <c r="R120" s="18">
        <f t="shared" ca="1" si="7"/>
        <v>46310.670810300922</v>
      </c>
    </row>
    <row r="121" spans="1:18" x14ac:dyDescent="0.25">
      <c r="A121" t="s">
        <v>262</v>
      </c>
      <c r="B121" s="2">
        <v>45564</v>
      </c>
      <c r="C121" t="s">
        <v>263</v>
      </c>
      <c r="D121" t="s">
        <v>264</v>
      </c>
      <c r="E121" t="s">
        <v>130</v>
      </c>
      <c r="F121" t="s">
        <v>131</v>
      </c>
      <c r="G121" t="s">
        <v>50</v>
      </c>
      <c r="H121">
        <v>1</v>
      </c>
      <c r="I121" s="17">
        <v>199.99</v>
      </c>
      <c r="J121" t="s">
        <v>61</v>
      </c>
      <c r="K121" t="s">
        <v>67</v>
      </c>
      <c r="L121" t="s">
        <v>40</v>
      </c>
      <c r="M121" s="2">
        <v>44953</v>
      </c>
      <c r="N121" s="17">
        <v>199.99</v>
      </c>
      <c r="O121">
        <f t="shared" ca="1" si="4"/>
        <v>3</v>
      </c>
      <c r="P121" s="2">
        <f t="shared" si="5"/>
        <v>45565</v>
      </c>
      <c r="Q121" t="str">
        <f t="shared" si="6"/>
        <v>OK</v>
      </c>
      <c r="R121" s="18">
        <f t="shared" ca="1" si="7"/>
        <v>46310.670810300922</v>
      </c>
    </row>
    <row r="122" spans="1:18" x14ac:dyDescent="0.25">
      <c r="A122" t="s">
        <v>265</v>
      </c>
      <c r="B122" s="2">
        <v>45566</v>
      </c>
      <c r="C122" t="s">
        <v>46</v>
      </c>
      <c r="D122" t="s">
        <v>47</v>
      </c>
      <c r="E122" t="s">
        <v>109</v>
      </c>
      <c r="F122" t="s">
        <v>110</v>
      </c>
      <c r="G122" t="s">
        <v>50</v>
      </c>
      <c r="H122">
        <v>4</v>
      </c>
      <c r="I122" s="17">
        <v>299.99</v>
      </c>
      <c r="J122" t="s">
        <v>24</v>
      </c>
      <c r="K122" t="s">
        <v>25</v>
      </c>
      <c r="L122" t="s">
        <v>31</v>
      </c>
      <c r="M122" s="2">
        <v>44460</v>
      </c>
      <c r="N122" s="17">
        <v>1199.96</v>
      </c>
      <c r="O122">
        <f t="shared" ca="1" si="4"/>
        <v>5</v>
      </c>
      <c r="P122" s="2">
        <f t="shared" si="5"/>
        <v>45596</v>
      </c>
      <c r="Q122" t="str">
        <f t="shared" si="6"/>
        <v>OK</v>
      </c>
      <c r="R122" s="18">
        <f t="shared" ca="1" si="7"/>
        <v>46310.670810300922</v>
      </c>
    </row>
    <row r="123" spans="1:18" x14ac:dyDescent="0.25">
      <c r="A123" t="s">
        <v>266</v>
      </c>
      <c r="B123" s="2">
        <v>45572</v>
      </c>
      <c r="C123" t="s">
        <v>93</v>
      </c>
      <c r="D123" t="s">
        <v>94</v>
      </c>
      <c r="E123" t="s">
        <v>35</v>
      </c>
      <c r="F123" t="s">
        <v>36</v>
      </c>
      <c r="G123" t="s">
        <v>37</v>
      </c>
      <c r="H123">
        <v>2</v>
      </c>
      <c r="I123" s="17">
        <v>59.99</v>
      </c>
      <c r="J123" t="s">
        <v>30</v>
      </c>
      <c r="K123" t="s">
        <v>25</v>
      </c>
      <c r="L123" t="s">
        <v>26</v>
      </c>
      <c r="M123" s="2">
        <v>44579</v>
      </c>
      <c r="N123" s="17">
        <v>119.98</v>
      </c>
      <c r="O123">
        <f t="shared" ca="1" si="4"/>
        <v>4</v>
      </c>
      <c r="P123" s="2">
        <f t="shared" si="5"/>
        <v>45596</v>
      </c>
      <c r="Q123" t="str">
        <f t="shared" si="6"/>
        <v>OK</v>
      </c>
      <c r="R123" s="18">
        <f t="shared" ca="1" si="7"/>
        <v>46310.670810300922</v>
      </c>
    </row>
    <row r="124" spans="1:18" x14ac:dyDescent="0.25">
      <c r="A124" t="s">
        <v>267</v>
      </c>
      <c r="B124" s="2">
        <v>45572</v>
      </c>
      <c r="C124" t="s">
        <v>238</v>
      </c>
      <c r="D124" t="s">
        <v>239</v>
      </c>
      <c r="E124" t="s">
        <v>56</v>
      </c>
      <c r="F124" t="s">
        <v>57</v>
      </c>
      <c r="G124" t="s">
        <v>23</v>
      </c>
      <c r="H124">
        <v>4</v>
      </c>
      <c r="I124" s="17">
        <v>149.99</v>
      </c>
      <c r="J124" t="s">
        <v>30</v>
      </c>
      <c r="K124" t="s">
        <v>44</v>
      </c>
      <c r="L124" t="s">
        <v>31</v>
      </c>
      <c r="M124" s="2">
        <v>45076</v>
      </c>
      <c r="N124" s="17">
        <v>599.96</v>
      </c>
      <c r="O124">
        <f t="shared" ca="1" si="4"/>
        <v>3</v>
      </c>
      <c r="P124" s="2">
        <f t="shared" si="5"/>
        <v>45596</v>
      </c>
      <c r="Q124" t="str">
        <f t="shared" si="6"/>
        <v>OK</v>
      </c>
      <c r="R124" s="18">
        <f t="shared" ca="1" si="7"/>
        <v>46310.670810300922</v>
      </c>
    </row>
    <row r="125" spans="1:18" x14ac:dyDescent="0.25">
      <c r="A125" t="s">
        <v>268</v>
      </c>
      <c r="B125" s="2">
        <v>45573</v>
      </c>
      <c r="C125" t="s">
        <v>215</v>
      </c>
      <c r="D125" t="s">
        <v>216</v>
      </c>
      <c r="E125" t="s">
        <v>84</v>
      </c>
      <c r="F125" t="s">
        <v>85</v>
      </c>
      <c r="G125" t="s">
        <v>23</v>
      </c>
      <c r="H125">
        <v>2</v>
      </c>
      <c r="I125" s="17">
        <v>699.99</v>
      </c>
      <c r="J125" t="s">
        <v>61</v>
      </c>
      <c r="K125" t="s">
        <v>67</v>
      </c>
      <c r="L125" t="s">
        <v>31</v>
      </c>
      <c r="M125" s="2">
        <v>45274</v>
      </c>
      <c r="N125" s="17">
        <v>1399.98</v>
      </c>
      <c r="O125">
        <f t="shared" ca="1" si="4"/>
        <v>2</v>
      </c>
      <c r="P125" s="2">
        <f t="shared" si="5"/>
        <v>45596</v>
      </c>
      <c r="Q125" t="str">
        <f t="shared" si="6"/>
        <v>OK</v>
      </c>
      <c r="R125" s="18">
        <f t="shared" ca="1" si="7"/>
        <v>46310.670810300922</v>
      </c>
    </row>
    <row r="126" spans="1:18" x14ac:dyDescent="0.25">
      <c r="A126" t="s">
        <v>269</v>
      </c>
      <c r="B126" s="2">
        <v>45573</v>
      </c>
      <c r="C126" t="s">
        <v>235</v>
      </c>
      <c r="D126" t="s">
        <v>236</v>
      </c>
      <c r="E126" t="s">
        <v>48</v>
      </c>
      <c r="F126" t="s">
        <v>49</v>
      </c>
      <c r="G126" t="s">
        <v>50</v>
      </c>
      <c r="H126">
        <v>3</v>
      </c>
      <c r="I126" s="17">
        <v>149.99</v>
      </c>
      <c r="J126" t="s">
        <v>30</v>
      </c>
      <c r="K126" t="s">
        <v>39</v>
      </c>
      <c r="L126" t="s">
        <v>40</v>
      </c>
      <c r="M126" s="2">
        <v>44940</v>
      </c>
      <c r="N126" s="17">
        <v>449.97</v>
      </c>
      <c r="O126">
        <f t="shared" ca="1" si="4"/>
        <v>3</v>
      </c>
      <c r="P126" s="2">
        <f t="shared" si="5"/>
        <v>45596</v>
      </c>
      <c r="Q126" t="str">
        <f t="shared" si="6"/>
        <v>OK</v>
      </c>
      <c r="R126" s="18">
        <f t="shared" ca="1" si="7"/>
        <v>46310.670810300922</v>
      </c>
    </row>
    <row r="127" spans="1:18" x14ac:dyDescent="0.25">
      <c r="A127" t="s">
        <v>270</v>
      </c>
      <c r="B127" s="2">
        <v>45576</v>
      </c>
      <c r="C127" t="s">
        <v>151</v>
      </c>
      <c r="D127" t="s">
        <v>152</v>
      </c>
      <c r="E127" t="s">
        <v>109</v>
      </c>
      <c r="F127" t="s">
        <v>110</v>
      </c>
      <c r="G127" t="s">
        <v>50</v>
      </c>
      <c r="H127">
        <v>3</v>
      </c>
      <c r="I127" s="17">
        <v>299.99</v>
      </c>
      <c r="J127" t="s">
        <v>30</v>
      </c>
      <c r="K127" t="s">
        <v>25</v>
      </c>
      <c r="L127" t="s">
        <v>40</v>
      </c>
      <c r="M127" s="2">
        <v>45174</v>
      </c>
      <c r="N127" s="17">
        <v>899.97</v>
      </c>
      <c r="O127">
        <f t="shared" ca="1" si="4"/>
        <v>3</v>
      </c>
      <c r="P127" s="2">
        <f t="shared" si="5"/>
        <v>45596</v>
      </c>
      <c r="Q127" t="str">
        <f t="shared" si="6"/>
        <v>OK</v>
      </c>
      <c r="R127" s="18">
        <f t="shared" ca="1" si="7"/>
        <v>46310.670810300922</v>
      </c>
    </row>
    <row r="128" spans="1:18" x14ac:dyDescent="0.25">
      <c r="A128" t="s">
        <v>271</v>
      </c>
      <c r="B128" s="2">
        <v>45579</v>
      </c>
      <c r="C128" t="s">
        <v>87</v>
      </c>
      <c r="D128" t="s">
        <v>88</v>
      </c>
      <c r="E128" t="s">
        <v>65</v>
      </c>
      <c r="F128" t="s">
        <v>66</v>
      </c>
      <c r="G128" t="s">
        <v>23</v>
      </c>
      <c r="H128">
        <v>3</v>
      </c>
      <c r="I128" s="17">
        <v>899.99</v>
      </c>
      <c r="J128" t="s">
        <v>38</v>
      </c>
      <c r="K128" t="s">
        <v>54</v>
      </c>
      <c r="L128" t="s">
        <v>26</v>
      </c>
      <c r="M128" s="2">
        <v>45215</v>
      </c>
      <c r="N128" s="17">
        <v>2699.97</v>
      </c>
      <c r="O128">
        <f t="shared" ca="1" si="4"/>
        <v>2</v>
      </c>
      <c r="P128" s="2">
        <f t="shared" si="5"/>
        <v>45596</v>
      </c>
      <c r="Q128" t="str">
        <f t="shared" si="6"/>
        <v>OK</v>
      </c>
      <c r="R128" s="18">
        <f t="shared" ca="1" si="7"/>
        <v>46310.670810300922</v>
      </c>
    </row>
    <row r="129" spans="1:18" x14ac:dyDescent="0.25">
      <c r="A129" t="s">
        <v>272</v>
      </c>
      <c r="B129" s="2">
        <v>45581</v>
      </c>
      <c r="C129" t="s">
        <v>100</v>
      </c>
      <c r="D129" t="s">
        <v>101</v>
      </c>
      <c r="E129" t="s">
        <v>84</v>
      </c>
      <c r="F129" t="s">
        <v>85</v>
      </c>
      <c r="G129" t="s">
        <v>23</v>
      </c>
      <c r="H129">
        <v>5</v>
      </c>
      <c r="I129" s="17">
        <v>699.99</v>
      </c>
      <c r="J129" t="s">
        <v>24</v>
      </c>
      <c r="K129" t="s">
        <v>67</v>
      </c>
      <c r="L129" t="s">
        <v>40</v>
      </c>
      <c r="M129" s="2">
        <v>45008</v>
      </c>
      <c r="N129" s="17">
        <v>3499.95</v>
      </c>
      <c r="O129">
        <f t="shared" ca="1" si="4"/>
        <v>3</v>
      </c>
      <c r="P129" s="2">
        <f t="shared" si="5"/>
        <v>45596</v>
      </c>
      <c r="Q129" t="str">
        <f t="shared" si="6"/>
        <v>OK</v>
      </c>
      <c r="R129" s="18">
        <f t="shared" ca="1" si="7"/>
        <v>46310.670810300922</v>
      </c>
    </row>
    <row r="130" spans="1:18" x14ac:dyDescent="0.25">
      <c r="A130" t="s">
        <v>273</v>
      </c>
      <c r="B130" s="2">
        <v>45581</v>
      </c>
      <c r="C130" t="s">
        <v>175</v>
      </c>
      <c r="D130" t="s">
        <v>176</v>
      </c>
      <c r="E130" t="s">
        <v>84</v>
      </c>
      <c r="F130" t="s">
        <v>85</v>
      </c>
      <c r="G130" t="s">
        <v>23</v>
      </c>
      <c r="H130">
        <v>4</v>
      </c>
      <c r="I130" s="17">
        <v>699.99</v>
      </c>
      <c r="J130" t="s">
        <v>30</v>
      </c>
      <c r="K130" t="s">
        <v>25</v>
      </c>
      <c r="L130" t="s">
        <v>26</v>
      </c>
      <c r="M130" s="2">
        <v>45385</v>
      </c>
      <c r="N130" s="17">
        <v>2799.96</v>
      </c>
      <c r="O130">
        <f t="shared" ref="O130:O193" ca="1" si="8">IFERROR(DATEDIF(M130,TODAY(),"Y"),0)</f>
        <v>2</v>
      </c>
      <c r="P130" s="2">
        <f t="shared" ref="P130:P193" si="9">EOMONTH(B130,0)</f>
        <v>45596</v>
      </c>
      <c r="Q130" t="str">
        <f t="shared" ref="Q130:Q193" si="10">IF(ABS(N130-H130*I130)&lt;1,"OK","Check")</f>
        <v>OK</v>
      </c>
      <c r="R130" s="18">
        <f t="shared" ref="R130:R193" ca="1" si="11">IF(A130&lt;&gt;"",NOW(),"")</f>
        <v>46310.670810300922</v>
      </c>
    </row>
    <row r="131" spans="1:18" x14ac:dyDescent="0.25">
      <c r="A131" t="s">
        <v>274</v>
      </c>
      <c r="B131" s="2">
        <v>45581</v>
      </c>
      <c r="C131" t="s">
        <v>154</v>
      </c>
      <c r="D131" t="s">
        <v>155</v>
      </c>
      <c r="E131" t="s">
        <v>65</v>
      </c>
      <c r="F131" t="s">
        <v>66</v>
      </c>
      <c r="G131" t="s">
        <v>23</v>
      </c>
      <c r="H131">
        <v>1</v>
      </c>
      <c r="I131" s="17">
        <v>899.99</v>
      </c>
      <c r="J131" t="s">
        <v>30</v>
      </c>
      <c r="K131" t="s">
        <v>67</v>
      </c>
      <c r="L131" t="s">
        <v>40</v>
      </c>
      <c r="M131" s="2">
        <v>45369</v>
      </c>
      <c r="N131" s="17">
        <v>899.99</v>
      </c>
      <c r="O131">
        <f t="shared" ca="1" si="8"/>
        <v>2</v>
      </c>
      <c r="P131" s="2">
        <f t="shared" si="9"/>
        <v>45596</v>
      </c>
      <c r="Q131" t="str">
        <f t="shared" si="10"/>
        <v>OK</v>
      </c>
      <c r="R131" s="18">
        <f t="shared" ca="1" si="11"/>
        <v>46310.670810300922</v>
      </c>
    </row>
    <row r="132" spans="1:18" x14ac:dyDescent="0.25">
      <c r="A132" t="s">
        <v>275</v>
      </c>
      <c r="B132" s="2">
        <v>45583</v>
      </c>
      <c r="C132" t="s">
        <v>230</v>
      </c>
      <c r="D132" t="s">
        <v>231</v>
      </c>
      <c r="E132" t="s">
        <v>56</v>
      </c>
      <c r="F132" t="s">
        <v>57</v>
      </c>
      <c r="G132" t="s">
        <v>23</v>
      </c>
      <c r="H132">
        <v>2</v>
      </c>
      <c r="I132" s="17">
        <v>149.99</v>
      </c>
      <c r="J132" t="s">
        <v>30</v>
      </c>
      <c r="K132" t="s">
        <v>54</v>
      </c>
      <c r="L132" t="s">
        <v>26</v>
      </c>
      <c r="M132" s="2">
        <v>44916</v>
      </c>
      <c r="N132" s="17">
        <v>299.98</v>
      </c>
      <c r="O132">
        <f t="shared" ca="1" si="8"/>
        <v>3</v>
      </c>
      <c r="P132" s="2">
        <f t="shared" si="9"/>
        <v>45596</v>
      </c>
      <c r="Q132" t="str">
        <f t="shared" si="10"/>
        <v>OK</v>
      </c>
      <c r="R132" s="18">
        <f t="shared" ca="1" si="11"/>
        <v>46310.670810300922</v>
      </c>
    </row>
    <row r="133" spans="1:18" x14ac:dyDescent="0.25">
      <c r="A133" t="s">
        <v>276</v>
      </c>
      <c r="B133" s="2">
        <v>45586</v>
      </c>
      <c r="C133" t="s">
        <v>230</v>
      </c>
      <c r="D133" t="s">
        <v>231</v>
      </c>
      <c r="E133" t="s">
        <v>121</v>
      </c>
      <c r="F133" t="s">
        <v>122</v>
      </c>
      <c r="G133" t="s">
        <v>23</v>
      </c>
      <c r="H133">
        <v>3</v>
      </c>
      <c r="I133" s="17">
        <v>89.99</v>
      </c>
      <c r="J133" t="s">
        <v>38</v>
      </c>
      <c r="K133" t="s">
        <v>25</v>
      </c>
      <c r="L133" t="s">
        <v>26</v>
      </c>
      <c r="M133" s="2">
        <v>44551</v>
      </c>
      <c r="N133" s="17">
        <v>269.97000000000003</v>
      </c>
      <c r="O133">
        <f t="shared" ca="1" si="8"/>
        <v>4</v>
      </c>
      <c r="P133" s="2">
        <f t="shared" si="9"/>
        <v>45596</v>
      </c>
      <c r="Q133" t="str">
        <f t="shared" si="10"/>
        <v>OK</v>
      </c>
      <c r="R133" s="18">
        <f t="shared" ca="1" si="11"/>
        <v>46310.670810300922</v>
      </c>
    </row>
    <row r="134" spans="1:18" x14ac:dyDescent="0.25">
      <c r="A134" t="s">
        <v>277</v>
      </c>
      <c r="B134" s="2">
        <v>45588</v>
      </c>
      <c r="C134" t="s">
        <v>42</v>
      </c>
      <c r="D134" t="s">
        <v>43</v>
      </c>
      <c r="E134" t="s">
        <v>56</v>
      </c>
      <c r="F134" t="s">
        <v>57</v>
      </c>
      <c r="G134" t="s">
        <v>23</v>
      </c>
      <c r="H134">
        <v>2</v>
      </c>
      <c r="I134" s="17">
        <v>149.99</v>
      </c>
      <c r="J134" t="s">
        <v>38</v>
      </c>
      <c r="K134" t="s">
        <v>25</v>
      </c>
      <c r="L134" t="s">
        <v>26</v>
      </c>
      <c r="M134" s="2">
        <v>44473</v>
      </c>
      <c r="N134" s="17">
        <v>299.98</v>
      </c>
      <c r="O134">
        <f t="shared" ca="1" si="8"/>
        <v>5</v>
      </c>
      <c r="P134" s="2">
        <f t="shared" si="9"/>
        <v>45596</v>
      </c>
      <c r="Q134" t="str">
        <f t="shared" si="10"/>
        <v>OK</v>
      </c>
      <c r="R134" s="18">
        <f t="shared" ca="1" si="11"/>
        <v>46310.670810300922</v>
      </c>
    </row>
    <row r="135" spans="1:18" x14ac:dyDescent="0.25">
      <c r="A135" t="s">
        <v>278</v>
      </c>
      <c r="B135" s="2">
        <v>45588</v>
      </c>
      <c r="C135" t="s">
        <v>158</v>
      </c>
      <c r="D135" t="s">
        <v>159</v>
      </c>
      <c r="E135" t="s">
        <v>84</v>
      </c>
      <c r="F135" t="s">
        <v>85</v>
      </c>
      <c r="G135" t="s">
        <v>23</v>
      </c>
      <c r="H135">
        <v>2</v>
      </c>
      <c r="I135" s="17">
        <v>699.99</v>
      </c>
      <c r="J135" t="s">
        <v>24</v>
      </c>
      <c r="K135" t="s">
        <v>25</v>
      </c>
      <c r="L135" t="s">
        <v>26</v>
      </c>
      <c r="M135" s="2">
        <v>44992</v>
      </c>
      <c r="N135" s="17">
        <v>1399.98</v>
      </c>
      <c r="O135">
        <f t="shared" ca="1" si="8"/>
        <v>3</v>
      </c>
      <c r="P135" s="2">
        <f t="shared" si="9"/>
        <v>45596</v>
      </c>
      <c r="Q135" t="str">
        <f t="shared" si="10"/>
        <v>OK</v>
      </c>
      <c r="R135" s="18">
        <f t="shared" ca="1" si="11"/>
        <v>46310.670810300922</v>
      </c>
    </row>
    <row r="136" spans="1:18" x14ac:dyDescent="0.25">
      <c r="A136" t="s">
        <v>279</v>
      </c>
      <c r="B136" s="2">
        <v>45589</v>
      </c>
      <c r="C136" t="s">
        <v>162</v>
      </c>
      <c r="D136" t="s">
        <v>163</v>
      </c>
      <c r="E136" t="s">
        <v>84</v>
      </c>
      <c r="F136" t="s">
        <v>85</v>
      </c>
      <c r="G136" t="s">
        <v>23</v>
      </c>
      <c r="H136">
        <v>5</v>
      </c>
      <c r="I136" s="17">
        <v>699.99</v>
      </c>
      <c r="J136" t="s">
        <v>24</v>
      </c>
      <c r="K136" t="s">
        <v>44</v>
      </c>
      <c r="L136" t="s">
        <v>31</v>
      </c>
      <c r="M136" s="2">
        <v>44635</v>
      </c>
      <c r="N136" s="17">
        <v>3499.95</v>
      </c>
      <c r="O136">
        <f t="shared" ca="1" si="8"/>
        <v>4</v>
      </c>
      <c r="P136" s="2">
        <f t="shared" si="9"/>
        <v>45596</v>
      </c>
      <c r="Q136" t="str">
        <f t="shared" si="10"/>
        <v>OK</v>
      </c>
      <c r="R136" s="18">
        <f t="shared" ca="1" si="11"/>
        <v>46310.670810300922</v>
      </c>
    </row>
    <row r="137" spans="1:18" x14ac:dyDescent="0.25">
      <c r="A137" t="s">
        <v>280</v>
      </c>
      <c r="B137" s="2">
        <v>45592</v>
      </c>
      <c r="C137" t="s">
        <v>175</v>
      </c>
      <c r="D137" t="s">
        <v>176</v>
      </c>
      <c r="E137" t="s">
        <v>121</v>
      </c>
      <c r="F137" t="s">
        <v>122</v>
      </c>
      <c r="G137" t="s">
        <v>23</v>
      </c>
      <c r="H137">
        <v>3</v>
      </c>
      <c r="I137" s="17">
        <v>89.99</v>
      </c>
      <c r="J137" t="s">
        <v>30</v>
      </c>
      <c r="K137" t="s">
        <v>44</v>
      </c>
      <c r="L137" t="s">
        <v>40</v>
      </c>
      <c r="M137" s="2">
        <v>44615</v>
      </c>
      <c r="N137" s="17">
        <v>269.97000000000003</v>
      </c>
      <c r="O137">
        <f t="shared" ca="1" si="8"/>
        <v>4</v>
      </c>
      <c r="P137" s="2">
        <f t="shared" si="9"/>
        <v>45596</v>
      </c>
      <c r="Q137" t="str">
        <f t="shared" si="10"/>
        <v>OK</v>
      </c>
      <c r="R137" s="18">
        <f t="shared" ca="1" si="11"/>
        <v>46310.670810300922</v>
      </c>
    </row>
    <row r="138" spans="1:18" x14ac:dyDescent="0.25">
      <c r="A138" t="s">
        <v>281</v>
      </c>
      <c r="B138" s="2">
        <v>45597</v>
      </c>
      <c r="C138" t="s">
        <v>19</v>
      </c>
      <c r="D138" t="s">
        <v>20</v>
      </c>
      <c r="E138" t="s">
        <v>21</v>
      </c>
      <c r="F138" t="s">
        <v>22</v>
      </c>
      <c r="G138" t="s">
        <v>23</v>
      </c>
      <c r="H138">
        <v>5</v>
      </c>
      <c r="I138" s="17">
        <v>249.99</v>
      </c>
      <c r="J138" t="s">
        <v>30</v>
      </c>
      <c r="K138" t="s">
        <v>39</v>
      </c>
      <c r="L138" t="s">
        <v>40</v>
      </c>
      <c r="M138" s="2">
        <v>44881</v>
      </c>
      <c r="N138" s="17">
        <v>1249.95</v>
      </c>
      <c r="O138">
        <f t="shared" ca="1" si="8"/>
        <v>3</v>
      </c>
      <c r="P138" s="2">
        <f t="shared" si="9"/>
        <v>45626</v>
      </c>
      <c r="Q138" t="str">
        <f t="shared" si="10"/>
        <v>OK</v>
      </c>
      <c r="R138" s="18">
        <f t="shared" ca="1" si="11"/>
        <v>46310.670810300922</v>
      </c>
    </row>
    <row r="139" spans="1:18" x14ac:dyDescent="0.25">
      <c r="A139" t="s">
        <v>282</v>
      </c>
      <c r="B139" s="2">
        <v>45600</v>
      </c>
      <c r="C139" t="s">
        <v>69</v>
      </c>
      <c r="D139" t="s">
        <v>70</v>
      </c>
      <c r="E139" t="s">
        <v>109</v>
      </c>
      <c r="F139" t="s">
        <v>110</v>
      </c>
      <c r="G139" t="s">
        <v>50</v>
      </c>
      <c r="H139">
        <v>3</v>
      </c>
      <c r="I139" s="17">
        <v>299.99</v>
      </c>
      <c r="J139" t="s">
        <v>30</v>
      </c>
      <c r="K139" t="s">
        <v>39</v>
      </c>
      <c r="L139" t="s">
        <v>40</v>
      </c>
      <c r="M139" s="2">
        <v>44502</v>
      </c>
      <c r="N139" s="17">
        <v>899.97</v>
      </c>
      <c r="O139">
        <f t="shared" ca="1" si="8"/>
        <v>4</v>
      </c>
      <c r="P139" s="2">
        <f t="shared" si="9"/>
        <v>45626</v>
      </c>
      <c r="Q139" t="str">
        <f t="shared" si="10"/>
        <v>OK</v>
      </c>
      <c r="R139" s="18">
        <f t="shared" ca="1" si="11"/>
        <v>46310.670810300922</v>
      </c>
    </row>
    <row r="140" spans="1:18" x14ac:dyDescent="0.25">
      <c r="A140" t="s">
        <v>283</v>
      </c>
      <c r="B140" s="2">
        <v>45603</v>
      </c>
      <c r="C140" t="s">
        <v>103</v>
      </c>
      <c r="D140" t="s">
        <v>104</v>
      </c>
      <c r="E140" t="s">
        <v>121</v>
      </c>
      <c r="F140" t="s">
        <v>122</v>
      </c>
      <c r="G140" t="s">
        <v>23</v>
      </c>
      <c r="H140">
        <v>3</v>
      </c>
      <c r="I140" s="17">
        <v>89.99</v>
      </c>
      <c r="J140" t="s">
        <v>30</v>
      </c>
      <c r="K140" t="s">
        <v>44</v>
      </c>
      <c r="L140" t="s">
        <v>31</v>
      </c>
      <c r="M140" s="2">
        <v>44420</v>
      </c>
      <c r="N140" s="17">
        <v>269.97000000000003</v>
      </c>
      <c r="O140">
        <f t="shared" ca="1" si="8"/>
        <v>5</v>
      </c>
      <c r="P140" s="2">
        <f t="shared" si="9"/>
        <v>45626</v>
      </c>
      <c r="Q140" t="str">
        <f t="shared" si="10"/>
        <v>OK</v>
      </c>
      <c r="R140" s="18">
        <f t="shared" ca="1" si="11"/>
        <v>46310.670810300922</v>
      </c>
    </row>
    <row r="141" spans="1:18" x14ac:dyDescent="0.25">
      <c r="A141" t="s">
        <v>284</v>
      </c>
      <c r="B141" s="2">
        <v>45604</v>
      </c>
      <c r="C141" t="s">
        <v>93</v>
      </c>
      <c r="D141" t="s">
        <v>94</v>
      </c>
      <c r="E141" t="s">
        <v>48</v>
      </c>
      <c r="F141" t="s">
        <v>49</v>
      </c>
      <c r="G141" t="s">
        <v>50</v>
      </c>
      <c r="H141">
        <v>2</v>
      </c>
      <c r="I141" s="17">
        <v>149.99</v>
      </c>
      <c r="J141" t="s">
        <v>30</v>
      </c>
      <c r="K141" t="s">
        <v>54</v>
      </c>
      <c r="L141" t="s">
        <v>31</v>
      </c>
      <c r="M141" s="2">
        <v>44848</v>
      </c>
      <c r="N141" s="17">
        <v>299.98</v>
      </c>
      <c r="O141">
        <f t="shared" ca="1" si="8"/>
        <v>4</v>
      </c>
      <c r="P141" s="2">
        <f t="shared" si="9"/>
        <v>45626</v>
      </c>
      <c r="Q141" t="str">
        <f t="shared" si="10"/>
        <v>OK</v>
      </c>
      <c r="R141" s="18">
        <f t="shared" ca="1" si="11"/>
        <v>46310.670810300922</v>
      </c>
    </row>
    <row r="142" spans="1:18" x14ac:dyDescent="0.25">
      <c r="A142" t="s">
        <v>285</v>
      </c>
      <c r="B142" s="2">
        <v>45605</v>
      </c>
      <c r="C142" t="s">
        <v>189</v>
      </c>
      <c r="D142" t="s">
        <v>190</v>
      </c>
      <c r="E142" t="s">
        <v>21</v>
      </c>
      <c r="F142" t="s">
        <v>22</v>
      </c>
      <c r="G142" t="s">
        <v>23</v>
      </c>
      <c r="H142">
        <v>1</v>
      </c>
      <c r="I142" s="17">
        <v>249.99</v>
      </c>
      <c r="J142" t="s">
        <v>30</v>
      </c>
      <c r="K142" t="s">
        <v>44</v>
      </c>
      <c r="L142" t="s">
        <v>31</v>
      </c>
      <c r="M142" s="2">
        <v>44828</v>
      </c>
      <c r="N142" s="17">
        <v>249.99</v>
      </c>
      <c r="O142">
        <f t="shared" ca="1" si="8"/>
        <v>4</v>
      </c>
      <c r="P142" s="2">
        <f t="shared" si="9"/>
        <v>45626</v>
      </c>
      <c r="Q142" t="str">
        <f t="shared" si="10"/>
        <v>OK</v>
      </c>
      <c r="R142" s="18">
        <f t="shared" ca="1" si="11"/>
        <v>46310.670810300922</v>
      </c>
    </row>
    <row r="143" spans="1:18" x14ac:dyDescent="0.25">
      <c r="A143" t="s">
        <v>286</v>
      </c>
      <c r="B143" s="2">
        <v>45607</v>
      </c>
      <c r="C143" t="s">
        <v>76</v>
      </c>
      <c r="D143" t="s">
        <v>77</v>
      </c>
      <c r="E143" t="s">
        <v>56</v>
      </c>
      <c r="F143" t="s">
        <v>57</v>
      </c>
      <c r="G143" t="s">
        <v>23</v>
      </c>
      <c r="H143">
        <v>3</v>
      </c>
      <c r="I143" s="17">
        <v>149.99</v>
      </c>
      <c r="J143" t="s">
        <v>24</v>
      </c>
      <c r="K143" t="s">
        <v>44</v>
      </c>
      <c r="L143" t="s">
        <v>26</v>
      </c>
      <c r="M143" s="2">
        <v>44769</v>
      </c>
      <c r="N143" s="17">
        <v>449.97</v>
      </c>
      <c r="O143">
        <f t="shared" ca="1" si="8"/>
        <v>4</v>
      </c>
      <c r="P143" s="2">
        <f t="shared" si="9"/>
        <v>45626</v>
      </c>
      <c r="Q143" t="str">
        <f t="shared" si="10"/>
        <v>OK</v>
      </c>
      <c r="R143" s="18">
        <f t="shared" ca="1" si="11"/>
        <v>46310.670810300922</v>
      </c>
    </row>
    <row r="144" spans="1:18" x14ac:dyDescent="0.25">
      <c r="A144" t="s">
        <v>287</v>
      </c>
      <c r="B144" s="2">
        <v>45607</v>
      </c>
      <c r="C144" t="s">
        <v>19</v>
      </c>
      <c r="D144" t="s">
        <v>20</v>
      </c>
      <c r="E144" t="s">
        <v>35</v>
      </c>
      <c r="F144" t="s">
        <v>36</v>
      </c>
      <c r="G144" t="s">
        <v>37</v>
      </c>
      <c r="H144">
        <v>5</v>
      </c>
      <c r="I144" s="17">
        <v>59.99</v>
      </c>
      <c r="J144" t="s">
        <v>38</v>
      </c>
      <c r="K144" t="s">
        <v>54</v>
      </c>
      <c r="L144" t="s">
        <v>31</v>
      </c>
      <c r="M144" s="2">
        <v>44694</v>
      </c>
      <c r="N144" s="17">
        <v>299.95</v>
      </c>
      <c r="O144">
        <f t="shared" ca="1" si="8"/>
        <v>4</v>
      </c>
      <c r="P144" s="2">
        <f t="shared" si="9"/>
        <v>45626</v>
      </c>
      <c r="Q144" t="str">
        <f t="shared" si="10"/>
        <v>OK</v>
      </c>
      <c r="R144" s="18">
        <f t="shared" ca="1" si="11"/>
        <v>46310.670810300922</v>
      </c>
    </row>
    <row r="145" spans="1:18" x14ac:dyDescent="0.25">
      <c r="A145" t="s">
        <v>288</v>
      </c>
      <c r="B145" s="2">
        <v>45607</v>
      </c>
      <c r="C145" t="s">
        <v>103</v>
      </c>
      <c r="D145" t="s">
        <v>104</v>
      </c>
      <c r="E145" t="s">
        <v>21</v>
      </c>
      <c r="F145" t="s">
        <v>22</v>
      </c>
      <c r="G145" t="s">
        <v>23</v>
      </c>
      <c r="H145">
        <v>4</v>
      </c>
      <c r="I145" s="17">
        <v>249.99</v>
      </c>
      <c r="J145" t="s">
        <v>30</v>
      </c>
      <c r="K145" t="s">
        <v>54</v>
      </c>
      <c r="L145" t="s">
        <v>40</v>
      </c>
      <c r="M145" s="2">
        <v>44659</v>
      </c>
      <c r="N145" s="17">
        <v>999.96</v>
      </c>
      <c r="O145">
        <f t="shared" ca="1" si="8"/>
        <v>4</v>
      </c>
      <c r="P145" s="2">
        <f t="shared" si="9"/>
        <v>45626</v>
      </c>
      <c r="Q145" t="str">
        <f t="shared" si="10"/>
        <v>OK</v>
      </c>
      <c r="R145" s="18">
        <f t="shared" ca="1" si="11"/>
        <v>46310.670810300922</v>
      </c>
    </row>
    <row r="146" spans="1:18" x14ac:dyDescent="0.25">
      <c r="A146" t="s">
        <v>289</v>
      </c>
      <c r="B146" s="2">
        <v>45608</v>
      </c>
      <c r="C146" t="s">
        <v>158</v>
      </c>
      <c r="D146" t="s">
        <v>159</v>
      </c>
      <c r="E146" t="s">
        <v>48</v>
      </c>
      <c r="F146" t="s">
        <v>49</v>
      </c>
      <c r="G146" t="s">
        <v>50</v>
      </c>
      <c r="H146">
        <v>5</v>
      </c>
      <c r="I146" s="17">
        <v>149.99</v>
      </c>
      <c r="J146" t="s">
        <v>38</v>
      </c>
      <c r="K146" t="s">
        <v>25</v>
      </c>
      <c r="L146" t="s">
        <v>26</v>
      </c>
      <c r="M146" s="2">
        <v>44901</v>
      </c>
      <c r="N146" s="17">
        <v>749.95</v>
      </c>
      <c r="O146">
        <f t="shared" ca="1" si="8"/>
        <v>3</v>
      </c>
      <c r="P146" s="2">
        <f t="shared" si="9"/>
        <v>45626</v>
      </c>
      <c r="Q146" t="str">
        <f t="shared" si="10"/>
        <v>OK</v>
      </c>
      <c r="R146" s="18">
        <f t="shared" ca="1" si="11"/>
        <v>46310.670810300922</v>
      </c>
    </row>
    <row r="147" spans="1:18" x14ac:dyDescent="0.25">
      <c r="A147" t="s">
        <v>290</v>
      </c>
      <c r="B147" s="2">
        <v>45608</v>
      </c>
      <c r="C147" t="s">
        <v>87</v>
      </c>
      <c r="D147" t="s">
        <v>88</v>
      </c>
      <c r="E147" t="s">
        <v>35</v>
      </c>
      <c r="F147" t="s">
        <v>36</v>
      </c>
      <c r="G147" t="s">
        <v>37</v>
      </c>
      <c r="H147">
        <v>3</v>
      </c>
      <c r="I147" s="17">
        <v>59.99</v>
      </c>
      <c r="J147" t="s">
        <v>61</v>
      </c>
      <c r="K147" t="s">
        <v>39</v>
      </c>
      <c r="L147" t="s">
        <v>40</v>
      </c>
      <c r="M147" s="2">
        <v>45260</v>
      </c>
      <c r="N147" s="17">
        <v>179.97</v>
      </c>
      <c r="O147">
        <f t="shared" ca="1" si="8"/>
        <v>2</v>
      </c>
      <c r="P147" s="2">
        <f t="shared" si="9"/>
        <v>45626</v>
      </c>
      <c r="Q147" t="str">
        <f t="shared" si="10"/>
        <v>OK</v>
      </c>
      <c r="R147" s="18">
        <f t="shared" ca="1" si="11"/>
        <v>46310.670810300922</v>
      </c>
    </row>
    <row r="148" spans="1:18" x14ac:dyDescent="0.25">
      <c r="A148" t="s">
        <v>291</v>
      </c>
      <c r="B148" s="2">
        <v>45613</v>
      </c>
      <c r="C148" t="s">
        <v>238</v>
      </c>
      <c r="D148" t="s">
        <v>239</v>
      </c>
      <c r="E148" t="s">
        <v>48</v>
      </c>
      <c r="F148" t="s">
        <v>49</v>
      </c>
      <c r="G148" t="s">
        <v>50</v>
      </c>
      <c r="H148">
        <v>5</v>
      </c>
      <c r="I148" s="17">
        <v>149.99</v>
      </c>
      <c r="J148" t="s">
        <v>24</v>
      </c>
      <c r="K148" t="s">
        <v>44</v>
      </c>
      <c r="L148" t="s">
        <v>26</v>
      </c>
      <c r="M148" s="2">
        <v>44869</v>
      </c>
      <c r="N148" s="17">
        <v>749.95</v>
      </c>
      <c r="O148">
        <f t="shared" ca="1" si="8"/>
        <v>3</v>
      </c>
      <c r="P148" s="2">
        <f t="shared" si="9"/>
        <v>45626</v>
      </c>
      <c r="Q148" t="str">
        <f t="shared" si="10"/>
        <v>OK</v>
      </c>
      <c r="R148" s="18">
        <f t="shared" ca="1" si="11"/>
        <v>46310.670810300922</v>
      </c>
    </row>
    <row r="149" spans="1:18" x14ac:dyDescent="0.25">
      <c r="A149" t="s">
        <v>292</v>
      </c>
      <c r="B149" s="2">
        <v>45613</v>
      </c>
      <c r="C149" t="s">
        <v>90</v>
      </c>
      <c r="D149" t="s">
        <v>91</v>
      </c>
      <c r="E149" t="s">
        <v>84</v>
      </c>
      <c r="F149" t="s">
        <v>85</v>
      </c>
      <c r="G149" t="s">
        <v>23</v>
      </c>
      <c r="H149">
        <v>2</v>
      </c>
      <c r="I149" s="17">
        <v>699.99</v>
      </c>
      <c r="J149" t="s">
        <v>38</v>
      </c>
      <c r="K149" t="s">
        <v>54</v>
      </c>
      <c r="L149" t="s">
        <v>40</v>
      </c>
      <c r="M149" s="2">
        <v>44770</v>
      </c>
      <c r="N149" s="17">
        <v>1399.98</v>
      </c>
      <c r="O149">
        <f t="shared" ca="1" si="8"/>
        <v>4</v>
      </c>
      <c r="P149" s="2">
        <f t="shared" si="9"/>
        <v>45626</v>
      </c>
      <c r="Q149" t="str">
        <f t="shared" si="10"/>
        <v>OK</v>
      </c>
      <c r="R149" s="18">
        <f t="shared" ca="1" si="11"/>
        <v>46310.670810300922</v>
      </c>
    </row>
    <row r="150" spans="1:18" x14ac:dyDescent="0.25">
      <c r="A150" t="s">
        <v>293</v>
      </c>
      <c r="B150" s="2">
        <v>45617</v>
      </c>
      <c r="C150" t="s">
        <v>127</v>
      </c>
      <c r="D150" t="s">
        <v>128</v>
      </c>
      <c r="E150" t="s">
        <v>130</v>
      </c>
      <c r="F150" t="s">
        <v>131</v>
      </c>
      <c r="G150" t="s">
        <v>50</v>
      </c>
      <c r="H150">
        <v>4</v>
      </c>
      <c r="I150" s="17">
        <v>199.99</v>
      </c>
      <c r="J150" t="s">
        <v>61</v>
      </c>
      <c r="K150" t="s">
        <v>25</v>
      </c>
      <c r="L150" t="s">
        <v>31</v>
      </c>
      <c r="M150" s="2">
        <v>44427</v>
      </c>
      <c r="N150" s="17">
        <v>799.96</v>
      </c>
      <c r="O150">
        <f t="shared" ca="1" si="8"/>
        <v>5</v>
      </c>
      <c r="P150" s="2">
        <f t="shared" si="9"/>
        <v>45626</v>
      </c>
      <c r="Q150" t="str">
        <f t="shared" si="10"/>
        <v>OK</v>
      </c>
      <c r="R150" s="18">
        <f t="shared" ca="1" si="11"/>
        <v>46310.670810300922</v>
      </c>
    </row>
    <row r="151" spans="1:18" x14ac:dyDescent="0.25">
      <c r="A151" t="s">
        <v>294</v>
      </c>
      <c r="B151" s="2">
        <v>45619</v>
      </c>
      <c r="C151" t="s">
        <v>196</v>
      </c>
      <c r="D151" t="s">
        <v>197</v>
      </c>
      <c r="E151" t="s">
        <v>35</v>
      </c>
      <c r="F151" t="s">
        <v>36</v>
      </c>
      <c r="G151" t="s">
        <v>37</v>
      </c>
      <c r="H151">
        <v>1</v>
      </c>
      <c r="I151" s="17">
        <v>59.99</v>
      </c>
      <c r="J151" t="s">
        <v>61</v>
      </c>
      <c r="K151" t="s">
        <v>54</v>
      </c>
      <c r="L151" t="s">
        <v>40</v>
      </c>
      <c r="M151" s="2">
        <v>44560</v>
      </c>
      <c r="N151" s="17">
        <v>59.99</v>
      </c>
      <c r="O151">
        <f t="shared" ca="1" si="8"/>
        <v>4</v>
      </c>
      <c r="P151" s="2">
        <f t="shared" si="9"/>
        <v>45626</v>
      </c>
      <c r="Q151" t="str">
        <f t="shared" si="10"/>
        <v>OK</v>
      </c>
      <c r="R151" s="18">
        <f t="shared" ca="1" si="11"/>
        <v>46310.670810300922</v>
      </c>
    </row>
    <row r="152" spans="1:18" x14ac:dyDescent="0.25">
      <c r="A152" t="s">
        <v>295</v>
      </c>
      <c r="B152" s="2">
        <v>45619</v>
      </c>
      <c r="C152" t="s">
        <v>158</v>
      </c>
      <c r="D152" t="s">
        <v>159</v>
      </c>
      <c r="E152" t="s">
        <v>84</v>
      </c>
      <c r="F152" t="s">
        <v>85</v>
      </c>
      <c r="G152" t="s">
        <v>23</v>
      </c>
      <c r="H152">
        <v>3</v>
      </c>
      <c r="I152" s="17">
        <v>699.99</v>
      </c>
      <c r="J152" t="s">
        <v>38</v>
      </c>
      <c r="K152" t="s">
        <v>54</v>
      </c>
      <c r="L152" t="s">
        <v>40</v>
      </c>
      <c r="M152" s="2">
        <v>44583</v>
      </c>
      <c r="N152" s="17">
        <v>2099.9699999999998</v>
      </c>
      <c r="O152">
        <f t="shared" ca="1" si="8"/>
        <v>4</v>
      </c>
      <c r="P152" s="2">
        <f t="shared" si="9"/>
        <v>45626</v>
      </c>
      <c r="Q152" t="str">
        <f t="shared" si="10"/>
        <v>OK</v>
      </c>
      <c r="R152" s="18">
        <f t="shared" ca="1" si="11"/>
        <v>46310.670810300922</v>
      </c>
    </row>
    <row r="153" spans="1:18" x14ac:dyDescent="0.25">
      <c r="A153" t="s">
        <v>296</v>
      </c>
      <c r="B153" s="2">
        <v>45622</v>
      </c>
      <c r="C153" t="s">
        <v>297</v>
      </c>
      <c r="D153" t="s">
        <v>298</v>
      </c>
      <c r="E153" t="s">
        <v>21</v>
      </c>
      <c r="F153" t="s">
        <v>22</v>
      </c>
      <c r="G153" t="s">
        <v>23</v>
      </c>
      <c r="H153">
        <v>5</v>
      </c>
      <c r="I153" s="17">
        <v>249.99</v>
      </c>
      <c r="J153" t="s">
        <v>30</v>
      </c>
      <c r="K153" t="s">
        <v>44</v>
      </c>
      <c r="L153" t="s">
        <v>26</v>
      </c>
      <c r="M153" s="2">
        <v>44873</v>
      </c>
      <c r="N153" s="17">
        <v>1249.95</v>
      </c>
      <c r="O153">
        <f t="shared" ca="1" si="8"/>
        <v>3</v>
      </c>
      <c r="P153" s="2">
        <f t="shared" si="9"/>
        <v>45626</v>
      </c>
      <c r="Q153" t="str">
        <f t="shared" si="10"/>
        <v>OK</v>
      </c>
      <c r="R153" s="18">
        <f t="shared" ca="1" si="11"/>
        <v>46310.670810300922</v>
      </c>
    </row>
    <row r="154" spans="1:18" x14ac:dyDescent="0.25">
      <c r="A154" t="s">
        <v>299</v>
      </c>
      <c r="B154" s="2">
        <v>45623</v>
      </c>
      <c r="C154" t="s">
        <v>116</v>
      </c>
      <c r="D154" t="s">
        <v>117</v>
      </c>
      <c r="E154" t="s">
        <v>48</v>
      </c>
      <c r="F154" t="s">
        <v>49</v>
      </c>
      <c r="G154" t="s">
        <v>50</v>
      </c>
      <c r="H154">
        <v>2</v>
      </c>
      <c r="I154" s="17">
        <v>149.99</v>
      </c>
      <c r="J154" t="s">
        <v>24</v>
      </c>
      <c r="K154" t="s">
        <v>39</v>
      </c>
      <c r="L154" t="s">
        <v>40</v>
      </c>
      <c r="M154" s="2">
        <v>45101</v>
      </c>
      <c r="N154" s="17">
        <v>299.98</v>
      </c>
      <c r="O154">
        <f t="shared" ca="1" si="8"/>
        <v>3</v>
      </c>
      <c r="P154" s="2">
        <f t="shared" si="9"/>
        <v>45626</v>
      </c>
      <c r="Q154" t="str">
        <f t="shared" si="10"/>
        <v>OK</v>
      </c>
      <c r="R154" s="18">
        <f t="shared" ca="1" si="11"/>
        <v>46310.670810300922</v>
      </c>
    </row>
    <row r="155" spans="1:18" x14ac:dyDescent="0.25">
      <c r="A155" t="s">
        <v>300</v>
      </c>
      <c r="B155" s="2">
        <v>45627</v>
      </c>
      <c r="C155" t="s">
        <v>33</v>
      </c>
      <c r="D155" t="s">
        <v>34</v>
      </c>
      <c r="E155" t="s">
        <v>109</v>
      </c>
      <c r="F155" t="s">
        <v>110</v>
      </c>
      <c r="G155" t="s">
        <v>50</v>
      </c>
      <c r="H155">
        <v>3</v>
      </c>
      <c r="I155" s="17">
        <v>299.99</v>
      </c>
      <c r="J155" t="s">
        <v>24</v>
      </c>
      <c r="K155" t="s">
        <v>39</v>
      </c>
      <c r="L155" t="s">
        <v>31</v>
      </c>
      <c r="M155" s="2">
        <v>44659</v>
      </c>
      <c r="N155" s="17">
        <v>899.97</v>
      </c>
      <c r="O155">
        <f t="shared" ca="1" si="8"/>
        <v>4</v>
      </c>
      <c r="P155" s="2">
        <f t="shared" si="9"/>
        <v>45657</v>
      </c>
      <c r="Q155" t="str">
        <f t="shared" si="10"/>
        <v>OK</v>
      </c>
      <c r="R155" s="18">
        <f t="shared" ca="1" si="11"/>
        <v>46310.670810300922</v>
      </c>
    </row>
    <row r="156" spans="1:18" x14ac:dyDescent="0.25">
      <c r="A156" t="s">
        <v>301</v>
      </c>
      <c r="B156" s="2">
        <v>45627</v>
      </c>
      <c r="C156" t="s">
        <v>59</v>
      </c>
      <c r="D156" t="s">
        <v>60</v>
      </c>
      <c r="E156" t="s">
        <v>21</v>
      </c>
      <c r="F156" t="s">
        <v>22</v>
      </c>
      <c r="G156" t="s">
        <v>23</v>
      </c>
      <c r="H156">
        <v>5</v>
      </c>
      <c r="I156" s="17">
        <v>249.99</v>
      </c>
      <c r="J156" t="s">
        <v>24</v>
      </c>
      <c r="K156" t="s">
        <v>25</v>
      </c>
      <c r="L156" t="s">
        <v>31</v>
      </c>
      <c r="M156" s="2">
        <v>44485</v>
      </c>
      <c r="N156" s="17">
        <v>1249.95</v>
      </c>
      <c r="O156">
        <f t="shared" ca="1" si="8"/>
        <v>4</v>
      </c>
      <c r="P156" s="2">
        <f t="shared" si="9"/>
        <v>45657</v>
      </c>
      <c r="Q156" t="str">
        <f t="shared" si="10"/>
        <v>OK</v>
      </c>
      <c r="R156" s="18">
        <f t="shared" ca="1" si="11"/>
        <v>46310.670810300922</v>
      </c>
    </row>
    <row r="157" spans="1:18" x14ac:dyDescent="0.25">
      <c r="A157" t="s">
        <v>302</v>
      </c>
      <c r="B157" s="2">
        <v>45627</v>
      </c>
      <c r="C157" t="s">
        <v>28</v>
      </c>
      <c r="D157" t="s">
        <v>29</v>
      </c>
      <c r="E157" t="s">
        <v>56</v>
      </c>
      <c r="F157" t="s">
        <v>57</v>
      </c>
      <c r="G157" t="s">
        <v>23</v>
      </c>
      <c r="H157">
        <v>2</v>
      </c>
      <c r="I157" s="17">
        <v>149.99</v>
      </c>
      <c r="J157" t="s">
        <v>24</v>
      </c>
      <c r="K157" t="s">
        <v>39</v>
      </c>
      <c r="L157" t="s">
        <v>31</v>
      </c>
      <c r="M157" s="2">
        <v>44475</v>
      </c>
      <c r="N157" s="17">
        <v>299.98</v>
      </c>
      <c r="O157">
        <f t="shared" ca="1" si="8"/>
        <v>5</v>
      </c>
      <c r="P157" s="2">
        <f t="shared" si="9"/>
        <v>45657</v>
      </c>
      <c r="Q157" t="str">
        <f t="shared" si="10"/>
        <v>OK</v>
      </c>
      <c r="R157" s="18">
        <f t="shared" ca="1" si="11"/>
        <v>46310.670810300922</v>
      </c>
    </row>
    <row r="158" spans="1:18" x14ac:dyDescent="0.25">
      <c r="A158" t="s">
        <v>303</v>
      </c>
      <c r="B158" s="2">
        <v>45627</v>
      </c>
      <c r="C158" t="s">
        <v>90</v>
      </c>
      <c r="D158" t="s">
        <v>91</v>
      </c>
      <c r="E158" t="s">
        <v>84</v>
      </c>
      <c r="F158" t="s">
        <v>85</v>
      </c>
      <c r="G158" t="s">
        <v>23</v>
      </c>
      <c r="H158">
        <v>5</v>
      </c>
      <c r="I158" s="17">
        <v>699.99</v>
      </c>
      <c r="J158" t="s">
        <v>61</v>
      </c>
      <c r="K158" t="s">
        <v>54</v>
      </c>
      <c r="L158" t="s">
        <v>40</v>
      </c>
      <c r="M158" s="2">
        <v>44944</v>
      </c>
      <c r="N158" s="17">
        <v>3499.95</v>
      </c>
      <c r="O158">
        <f t="shared" ca="1" si="8"/>
        <v>3</v>
      </c>
      <c r="P158" s="2">
        <f t="shared" si="9"/>
        <v>45657</v>
      </c>
      <c r="Q158" t="str">
        <f t="shared" si="10"/>
        <v>OK</v>
      </c>
      <c r="R158" s="18">
        <f t="shared" ca="1" si="11"/>
        <v>46310.670810300922</v>
      </c>
    </row>
    <row r="159" spans="1:18" x14ac:dyDescent="0.25">
      <c r="A159" t="s">
        <v>304</v>
      </c>
      <c r="B159" s="2">
        <v>45629</v>
      </c>
      <c r="C159" t="s">
        <v>256</v>
      </c>
      <c r="D159" t="s">
        <v>257</v>
      </c>
      <c r="E159" t="s">
        <v>21</v>
      </c>
      <c r="F159" t="s">
        <v>22</v>
      </c>
      <c r="G159" t="s">
        <v>23</v>
      </c>
      <c r="H159">
        <v>4</v>
      </c>
      <c r="I159" s="17">
        <v>249.99</v>
      </c>
      <c r="J159" t="s">
        <v>38</v>
      </c>
      <c r="K159" t="s">
        <v>67</v>
      </c>
      <c r="L159" t="s">
        <v>31</v>
      </c>
      <c r="M159" s="2">
        <v>45098</v>
      </c>
      <c r="N159" s="17">
        <v>999.96</v>
      </c>
      <c r="O159">
        <f t="shared" ca="1" si="8"/>
        <v>3</v>
      </c>
      <c r="P159" s="2">
        <f t="shared" si="9"/>
        <v>45657</v>
      </c>
      <c r="Q159" t="str">
        <f t="shared" si="10"/>
        <v>OK</v>
      </c>
      <c r="R159" s="18">
        <f t="shared" ca="1" si="11"/>
        <v>46310.670810300922</v>
      </c>
    </row>
    <row r="160" spans="1:18" x14ac:dyDescent="0.25">
      <c r="A160" t="s">
        <v>305</v>
      </c>
      <c r="B160" s="2">
        <v>45630</v>
      </c>
      <c r="C160" t="s">
        <v>52</v>
      </c>
      <c r="D160" t="s">
        <v>53</v>
      </c>
      <c r="E160" t="s">
        <v>84</v>
      </c>
      <c r="F160" t="s">
        <v>85</v>
      </c>
      <c r="G160" t="s">
        <v>23</v>
      </c>
      <c r="H160">
        <v>4</v>
      </c>
      <c r="I160" s="17">
        <v>699.99</v>
      </c>
      <c r="J160" t="s">
        <v>30</v>
      </c>
      <c r="K160" t="s">
        <v>44</v>
      </c>
      <c r="L160" t="s">
        <v>31</v>
      </c>
      <c r="M160" s="2">
        <v>44703</v>
      </c>
      <c r="N160" s="17">
        <v>2799.96</v>
      </c>
      <c r="O160">
        <f t="shared" ca="1" si="8"/>
        <v>4</v>
      </c>
      <c r="P160" s="2">
        <f t="shared" si="9"/>
        <v>45657</v>
      </c>
      <c r="Q160" t="str">
        <f t="shared" si="10"/>
        <v>OK</v>
      </c>
      <c r="R160" s="18">
        <f t="shared" ca="1" si="11"/>
        <v>46310.670810300922</v>
      </c>
    </row>
    <row r="161" spans="1:18" x14ac:dyDescent="0.25">
      <c r="A161" t="s">
        <v>306</v>
      </c>
      <c r="B161" s="2">
        <v>45635</v>
      </c>
      <c r="C161" t="s">
        <v>112</v>
      </c>
      <c r="D161" t="s">
        <v>113</v>
      </c>
      <c r="E161" t="s">
        <v>21</v>
      </c>
      <c r="F161" t="s">
        <v>22</v>
      </c>
      <c r="G161" t="s">
        <v>23</v>
      </c>
      <c r="H161">
        <v>2</v>
      </c>
      <c r="I161" s="17">
        <v>249.99</v>
      </c>
      <c r="J161" t="s">
        <v>30</v>
      </c>
      <c r="K161" t="s">
        <v>25</v>
      </c>
      <c r="L161" t="s">
        <v>31</v>
      </c>
      <c r="M161" s="2">
        <v>44396</v>
      </c>
      <c r="N161" s="17">
        <v>499.98</v>
      </c>
      <c r="O161">
        <f t="shared" ca="1" si="8"/>
        <v>5</v>
      </c>
      <c r="P161" s="2">
        <f t="shared" si="9"/>
        <v>45657</v>
      </c>
      <c r="Q161" t="str">
        <f t="shared" si="10"/>
        <v>OK</v>
      </c>
      <c r="R161" s="18">
        <f t="shared" ca="1" si="11"/>
        <v>46310.670810300922</v>
      </c>
    </row>
    <row r="162" spans="1:18" x14ac:dyDescent="0.25">
      <c r="A162" t="s">
        <v>307</v>
      </c>
      <c r="B162" s="2">
        <v>45635</v>
      </c>
      <c r="C162" t="s">
        <v>308</v>
      </c>
      <c r="D162" t="s">
        <v>309</v>
      </c>
      <c r="E162" t="s">
        <v>35</v>
      </c>
      <c r="F162" t="s">
        <v>36</v>
      </c>
      <c r="G162" t="s">
        <v>37</v>
      </c>
      <c r="H162">
        <v>3</v>
      </c>
      <c r="I162" s="17">
        <v>59.99</v>
      </c>
      <c r="J162" t="s">
        <v>24</v>
      </c>
      <c r="K162" t="s">
        <v>25</v>
      </c>
      <c r="L162" t="s">
        <v>31</v>
      </c>
      <c r="M162" s="2">
        <v>45052</v>
      </c>
      <c r="N162" s="17">
        <v>179.97</v>
      </c>
      <c r="O162">
        <f t="shared" ca="1" si="8"/>
        <v>3</v>
      </c>
      <c r="P162" s="2">
        <f t="shared" si="9"/>
        <v>45657</v>
      </c>
      <c r="Q162" t="str">
        <f t="shared" si="10"/>
        <v>OK</v>
      </c>
      <c r="R162" s="18">
        <f t="shared" ca="1" si="11"/>
        <v>46310.670810300922</v>
      </c>
    </row>
    <row r="163" spans="1:18" x14ac:dyDescent="0.25">
      <c r="A163" t="s">
        <v>310</v>
      </c>
      <c r="B163" s="2">
        <v>45635</v>
      </c>
      <c r="C163" t="s">
        <v>145</v>
      </c>
      <c r="D163" t="s">
        <v>146</v>
      </c>
      <c r="E163" t="s">
        <v>118</v>
      </c>
      <c r="F163" t="s">
        <v>119</v>
      </c>
      <c r="G163" t="s">
        <v>37</v>
      </c>
      <c r="H163">
        <v>4</v>
      </c>
      <c r="I163" s="17">
        <v>79.989999999999995</v>
      </c>
      <c r="J163" t="s">
        <v>61</v>
      </c>
      <c r="K163" t="s">
        <v>67</v>
      </c>
      <c r="L163" t="s">
        <v>40</v>
      </c>
      <c r="M163" s="2">
        <v>44921</v>
      </c>
      <c r="N163" s="17">
        <v>319.95999999999998</v>
      </c>
      <c r="O163">
        <f t="shared" ca="1" si="8"/>
        <v>3</v>
      </c>
      <c r="P163" s="2">
        <f t="shared" si="9"/>
        <v>45657</v>
      </c>
      <c r="Q163" t="str">
        <f t="shared" si="10"/>
        <v>OK</v>
      </c>
      <c r="R163" s="18">
        <f t="shared" ca="1" si="11"/>
        <v>46310.670810300922</v>
      </c>
    </row>
    <row r="164" spans="1:18" x14ac:dyDescent="0.25">
      <c r="A164" t="s">
        <v>311</v>
      </c>
      <c r="B164" s="2">
        <v>45636</v>
      </c>
      <c r="C164" t="s">
        <v>124</v>
      </c>
      <c r="D164" t="s">
        <v>125</v>
      </c>
      <c r="E164" t="s">
        <v>118</v>
      </c>
      <c r="F164" t="s">
        <v>119</v>
      </c>
      <c r="G164" t="s">
        <v>37</v>
      </c>
      <c r="H164">
        <v>3</v>
      </c>
      <c r="I164" s="17">
        <v>79.989999999999995</v>
      </c>
      <c r="J164" t="s">
        <v>61</v>
      </c>
      <c r="K164" t="s">
        <v>67</v>
      </c>
      <c r="L164" t="s">
        <v>40</v>
      </c>
      <c r="M164" s="2">
        <v>44779</v>
      </c>
      <c r="N164" s="17">
        <v>239.97</v>
      </c>
      <c r="O164">
        <f t="shared" ca="1" si="8"/>
        <v>4</v>
      </c>
      <c r="P164" s="2">
        <f t="shared" si="9"/>
        <v>45657</v>
      </c>
      <c r="Q164" t="str">
        <f t="shared" si="10"/>
        <v>OK</v>
      </c>
      <c r="R164" s="18">
        <f t="shared" ca="1" si="11"/>
        <v>46310.670810300922</v>
      </c>
    </row>
    <row r="165" spans="1:18" x14ac:dyDescent="0.25">
      <c r="A165" t="s">
        <v>312</v>
      </c>
      <c r="B165" s="2">
        <v>45638</v>
      </c>
      <c r="C165" t="s">
        <v>76</v>
      </c>
      <c r="D165" t="s">
        <v>77</v>
      </c>
      <c r="E165" t="s">
        <v>65</v>
      </c>
      <c r="F165" t="s">
        <v>66</v>
      </c>
      <c r="G165" t="s">
        <v>23</v>
      </c>
      <c r="H165">
        <v>2</v>
      </c>
      <c r="I165" s="17">
        <v>899.99</v>
      </c>
      <c r="J165" t="s">
        <v>24</v>
      </c>
      <c r="K165" t="s">
        <v>44</v>
      </c>
      <c r="L165" t="s">
        <v>26</v>
      </c>
      <c r="M165" s="2">
        <v>44406</v>
      </c>
      <c r="N165" s="17">
        <v>1799.98</v>
      </c>
      <c r="O165">
        <f t="shared" ca="1" si="8"/>
        <v>5</v>
      </c>
      <c r="P165" s="2">
        <f t="shared" si="9"/>
        <v>45657</v>
      </c>
      <c r="Q165" t="str">
        <f t="shared" si="10"/>
        <v>OK</v>
      </c>
      <c r="R165" s="18">
        <f t="shared" ca="1" si="11"/>
        <v>46310.670810300922</v>
      </c>
    </row>
    <row r="166" spans="1:18" x14ac:dyDescent="0.25">
      <c r="A166" t="s">
        <v>313</v>
      </c>
      <c r="B166" s="2">
        <v>45641</v>
      </c>
      <c r="C166" t="s">
        <v>186</v>
      </c>
      <c r="D166" t="s">
        <v>187</v>
      </c>
      <c r="E166" t="s">
        <v>48</v>
      </c>
      <c r="F166" t="s">
        <v>49</v>
      </c>
      <c r="G166" t="s">
        <v>50</v>
      </c>
      <c r="H166">
        <v>1</v>
      </c>
      <c r="I166" s="17">
        <v>149.99</v>
      </c>
      <c r="J166" t="s">
        <v>61</v>
      </c>
      <c r="K166" t="s">
        <v>67</v>
      </c>
      <c r="L166" t="s">
        <v>40</v>
      </c>
      <c r="M166" s="2">
        <v>45200</v>
      </c>
      <c r="N166" s="17">
        <v>149.99</v>
      </c>
      <c r="O166">
        <f t="shared" ca="1" si="8"/>
        <v>3</v>
      </c>
      <c r="P166" s="2">
        <f t="shared" si="9"/>
        <v>45657</v>
      </c>
      <c r="Q166" t="str">
        <f t="shared" si="10"/>
        <v>OK</v>
      </c>
      <c r="R166" s="18">
        <f t="shared" ca="1" si="11"/>
        <v>46310.670810300922</v>
      </c>
    </row>
    <row r="167" spans="1:18" x14ac:dyDescent="0.25">
      <c r="A167" t="s">
        <v>314</v>
      </c>
      <c r="B167" s="2">
        <v>45641</v>
      </c>
      <c r="C167" t="s">
        <v>142</v>
      </c>
      <c r="D167" t="s">
        <v>143</v>
      </c>
      <c r="E167" t="s">
        <v>109</v>
      </c>
      <c r="F167" t="s">
        <v>110</v>
      </c>
      <c r="G167" t="s">
        <v>50</v>
      </c>
      <c r="H167">
        <v>2</v>
      </c>
      <c r="I167" s="17">
        <v>299.99</v>
      </c>
      <c r="J167" t="s">
        <v>24</v>
      </c>
      <c r="K167" t="s">
        <v>67</v>
      </c>
      <c r="L167" t="s">
        <v>31</v>
      </c>
      <c r="M167" s="2">
        <v>44724</v>
      </c>
      <c r="N167" s="17">
        <v>599.98</v>
      </c>
      <c r="O167">
        <f t="shared" ca="1" si="8"/>
        <v>4</v>
      </c>
      <c r="P167" s="2">
        <f t="shared" si="9"/>
        <v>45657</v>
      </c>
      <c r="Q167" t="str">
        <f t="shared" si="10"/>
        <v>OK</v>
      </c>
      <c r="R167" s="18">
        <f t="shared" ca="1" si="11"/>
        <v>46310.670810300922</v>
      </c>
    </row>
    <row r="168" spans="1:18" x14ac:dyDescent="0.25">
      <c r="A168" t="s">
        <v>315</v>
      </c>
      <c r="B168" s="2">
        <v>45644</v>
      </c>
      <c r="C168" t="s">
        <v>136</v>
      </c>
      <c r="D168" t="s">
        <v>137</v>
      </c>
      <c r="E168" t="s">
        <v>35</v>
      </c>
      <c r="F168" t="s">
        <v>36</v>
      </c>
      <c r="G168" t="s">
        <v>37</v>
      </c>
      <c r="H168">
        <v>2</v>
      </c>
      <c r="I168" s="17">
        <v>59.99</v>
      </c>
      <c r="J168" t="s">
        <v>24</v>
      </c>
      <c r="K168" t="s">
        <v>54</v>
      </c>
      <c r="L168" t="s">
        <v>26</v>
      </c>
      <c r="M168" s="2">
        <v>45191</v>
      </c>
      <c r="N168" s="17">
        <v>119.98</v>
      </c>
      <c r="O168">
        <f t="shared" ca="1" si="8"/>
        <v>3</v>
      </c>
      <c r="P168" s="2">
        <f t="shared" si="9"/>
        <v>45657</v>
      </c>
      <c r="Q168" t="str">
        <f t="shared" si="10"/>
        <v>OK</v>
      </c>
      <c r="R168" s="18">
        <f t="shared" ca="1" si="11"/>
        <v>46310.670810300922</v>
      </c>
    </row>
    <row r="169" spans="1:18" x14ac:dyDescent="0.25">
      <c r="A169" t="s">
        <v>316</v>
      </c>
      <c r="B169" s="2">
        <v>45645</v>
      </c>
      <c r="C169" t="s">
        <v>186</v>
      </c>
      <c r="D169" t="s">
        <v>187</v>
      </c>
      <c r="E169" t="s">
        <v>121</v>
      </c>
      <c r="F169" t="s">
        <v>122</v>
      </c>
      <c r="G169" t="s">
        <v>23</v>
      </c>
      <c r="H169">
        <v>1</v>
      </c>
      <c r="I169" s="17">
        <v>89.99</v>
      </c>
      <c r="J169" t="s">
        <v>61</v>
      </c>
      <c r="K169" t="s">
        <v>25</v>
      </c>
      <c r="L169" t="s">
        <v>40</v>
      </c>
      <c r="M169" s="2">
        <v>44760</v>
      </c>
      <c r="N169" s="17">
        <v>89.99</v>
      </c>
      <c r="O169">
        <f t="shared" ca="1" si="8"/>
        <v>4</v>
      </c>
      <c r="P169" s="2">
        <f t="shared" si="9"/>
        <v>45657</v>
      </c>
      <c r="Q169" t="str">
        <f t="shared" si="10"/>
        <v>OK</v>
      </c>
      <c r="R169" s="18">
        <f t="shared" ca="1" si="11"/>
        <v>46310.670810300922</v>
      </c>
    </row>
    <row r="170" spans="1:18" x14ac:dyDescent="0.25">
      <c r="A170" t="s">
        <v>317</v>
      </c>
      <c r="B170" s="2">
        <v>45645</v>
      </c>
      <c r="C170" t="s">
        <v>151</v>
      </c>
      <c r="D170" t="s">
        <v>152</v>
      </c>
      <c r="E170" t="s">
        <v>65</v>
      </c>
      <c r="F170" t="s">
        <v>66</v>
      </c>
      <c r="G170" t="s">
        <v>23</v>
      </c>
      <c r="H170">
        <v>5</v>
      </c>
      <c r="I170" s="17">
        <v>899.99</v>
      </c>
      <c r="J170" t="s">
        <v>61</v>
      </c>
      <c r="K170" t="s">
        <v>67</v>
      </c>
      <c r="L170" t="s">
        <v>40</v>
      </c>
      <c r="M170" s="2">
        <v>44625</v>
      </c>
      <c r="N170" s="17">
        <v>4499.95</v>
      </c>
      <c r="O170">
        <f t="shared" ca="1" si="8"/>
        <v>4</v>
      </c>
      <c r="P170" s="2">
        <f t="shared" si="9"/>
        <v>45657</v>
      </c>
      <c r="Q170" t="str">
        <f t="shared" si="10"/>
        <v>OK</v>
      </c>
      <c r="R170" s="18">
        <f t="shared" ca="1" si="11"/>
        <v>46310.670810300922</v>
      </c>
    </row>
    <row r="171" spans="1:18" x14ac:dyDescent="0.25">
      <c r="A171" t="s">
        <v>318</v>
      </c>
      <c r="B171" s="2">
        <v>45646</v>
      </c>
      <c r="C171" t="s">
        <v>46</v>
      </c>
      <c r="D171" t="s">
        <v>47</v>
      </c>
      <c r="E171" t="s">
        <v>48</v>
      </c>
      <c r="F171" t="s">
        <v>49</v>
      </c>
      <c r="G171" t="s">
        <v>50</v>
      </c>
      <c r="H171">
        <v>2</v>
      </c>
      <c r="I171" s="17">
        <v>149.99</v>
      </c>
      <c r="J171" t="s">
        <v>24</v>
      </c>
      <c r="K171" t="s">
        <v>39</v>
      </c>
      <c r="L171" t="s">
        <v>26</v>
      </c>
      <c r="M171" s="2">
        <v>45239</v>
      </c>
      <c r="N171" s="17">
        <v>299.98</v>
      </c>
      <c r="O171">
        <f t="shared" ca="1" si="8"/>
        <v>2</v>
      </c>
      <c r="P171" s="2">
        <f t="shared" si="9"/>
        <v>45657</v>
      </c>
      <c r="Q171" t="str">
        <f t="shared" si="10"/>
        <v>OK</v>
      </c>
      <c r="R171" s="18">
        <f t="shared" ca="1" si="11"/>
        <v>46310.670810300922</v>
      </c>
    </row>
    <row r="172" spans="1:18" x14ac:dyDescent="0.25">
      <c r="A172" t="s">
        <v>319</v>
      </c>
      <c r="B172" s="2">
        <v>45648</v>
      </c>
      <c r="C172" t="s">
        <v>116</v>
      </c>
      <c r="D172" t="s">
        <v>117</v>
      </c>
      <c r="E172" t="s">
        <v>56</v>
      </c>
      <c r="F172" t="s">
        <v>57</v>
      </c>
      <c r="G172" t="s">
        <v>23</v>
      </c>
      <c r="H172">
        <v>2</v>
      </c>
      <c r="I172" s="17">
        <v>149.99</v>
      </c>
      <c r="J172" t="s">
        <v>61</v>
      </c>
      <c r="K172" t="s">
        <v>54</v>
      </c>
      <c r="L172" t="s">
        <v>31</v>
      </c>
      <c r="M172" s="2">
        <v>45280</v>
      </c>
      <c r="N172" s="17">
        <v>299.98</v>
      </c>
      <c r="O172">
        <f t="shared" ca="1" si="8"/>
        <v>2</v>
      </c>
      <c r="P172" s="2">
        <f t="shared" si="9"/>
        <v>45657</v>
      </c>
      <c r="Q172" t="str">
        <f t="shared" si="10"/>
        <v>OK</v>
      </c>
      <c r="R172" s="18">
        <f t="shared" ca="1" si="11"/>
        <v>46310.670810300922</v>
      </c>
    </row>
    <row r="173" spans="1:18" x14ac:dyDescent="0.25">
      <c r="A173" t="s">
        <v>320</v>
      </c>
      <c r="B173" s="2">
        <v>45648</v>
      </c>
      <c r="C173" t="s">
        <v>186</v>
      </c>
      <c r="D173" t="s">
        <v>187</v>
      </c>
      <c r="E173" t="s">
        <v>48</v>
      </c>
      <c r="F173" t="s">
        <v>49</v>
      </c>
      <c r="G173" t="s">
        <v>50</v>
      </c>
      <c r="H173">
        <v>3</v>
      </c>
      <c r="I173" s="17">
        <v>149.99</v>
      </c>
      <c r="J173" t="s">
        <v>61</v>
      </c>
      <c r="K173" t="s">
        <v>44</v>
      </c>
      <c r="L173" t="s">
        <v>40</v>
      </c>
      <c r="M173" s="2">
        <v>44522</v>
      </c>
      <c r="N173" s="17">
        <v>449.97</v>
      </c>
      <c r="O173">
        <f t="shared" ca="1" si="8"/>
        <v>4</v>
      </c>
      <c r="P173" s="2">
        <f t="shared" si="9"/>
        <v>45657</v>
      </c>
      <c r="Q173" t="str">
        <f t="shared" si="10"/>
        <v>OK</v>
      </c>
      <c r="R173" s="18">
        <f t="shared" ca="1" si="11"/>
        <v>46310.670810300922</v>
      </c>
    </row>
    <row r="174" spans="1:18" x14ac:dyDescent="0.25">
      <c r="A174" t="s">
        <v>321</v>
      </c>
      <c r="B174" s="2">
        <v>45649</v>
      </c>
      <c r="C174" t="s">
        <v>33</v>
      </c>
      <c r="D174" t="s">
        <v>34</v>
      </c>
      <c r="E174" t="s">
        <v>109</v>
      </c>
      <c r="F174" t="s">
        <v>110</v>
      </c>
      <c r="G174" t="s">
        <v>50</v>
      </c>
      <c r="H174">
        <v>2</v>
      </c>
      <c r="I174" s="17">
        <v>299.99</v>
      </c>
      <c r="J174" t="s">
        <v>38</v>
      </c>
      <c r="K174" t="s">
        <v>39</v>
      </c>
      <c r="L174" t="s">
        <v>26</v>
      </c>
      <c r="M174" s="2">
        <v>44721</v>
      </c>
      <c r="N174" s="17">
        <v>599.98</v>
      </c>
      <c r="O174">
        <f t="shared" ca="1" si="8"/>
        <v>4</v>
      </c>
      <c r="P174" s="2">
        <f t="shared" si="9"/>
        <v>45657</v>
      </c>
      <c r="Q174" t="str">
        <f t="shared" si="10"/>
        <v>OK</v>
      </c>
      <c r="R174" s="18">
        <f t="shared" ca="1" si="11"/>
        <v>46310.670810300922</v>
      </c>
    </row>
    <row r="175" spans="1:18" x14ac:dyDescent="0.25">
      <c r="A175" t="s">
        <v>322</v>
      </c>
      <c r="B175" s="2">
        <v>45654</v>
      </c>
      <c r="C175" t="s">
        <v>46</v>
      </c>
      <c r="D175" t="s">
        <v>47</v>
      </c>
      <c r="E175" t="s">
        <v>109</v>
      </c>
      <c r="F175" t="s">
        <v>110</v>
      </c>
      <c r="G175" t="s">
        <v>50</v>
      </c>
      <c r="H175">
        <v>2</v>
      </c>
      <c r="I175" s="17">
        <v>299.99</v>
      </c>
      <c r="J175" t="s">
        <v>24</v>
      </c>
      <c r="K175" t="s">
        <v>54</v>
      </c>
      <c r="L175" t="s">
        <v>26</v>
      </c>
      <c r="M175" s="2">
        <v>44771</v>
      </c>
      <c r="N175" s="17">
        <v>599.98</v>
      </c>
      <c r="O175">
        <f t="shared" ca="1" si="8"/>
        <v>4</v>
      </c>
      <c r="P175" s="2">
        <f t="shared" si="9"/>
        <v>45657</v>
      </c>
      <c r="Q175" t="str">
        <f t="shared" si="10"/>
        <v>OK</v>
      </c>
      <c r="R175" s="18">
        <f t="shared" ca="1" si="11"/>
        <v>46310.670810300922</v>
      </c>
    </row>
    <row r="176" spans="1:18" x14ac:dyDescent="0.25">
      <c r="A176" t="s">
        <v>323</v>
      </c>
      <c r="B176" s="2">
        <v>45654</v>
      </c>
      <c r="C176" t="s">
        <v>124</v>
      </c>
      <c r="D176" t="s">
        <v>125</v>
      </c>
      <c r="E176" t="s">
        <v>130</v>
      </c>
      <c r="F176" t="s">
        <v>131</v>
      </c>
      <c r="G176" t="s">
        <v>50</v>
      </c>
      <c r="H176">
        <v>4</v>
      </c>
      <c r="I176" s="17">
        <v>199.99</v>
      </c>
      <c r="J176" t="s">
        <v>30</v>
      </c>
      <c r="K176" t="s">
        <v>25</v>
      </c>
      <c r="L176" t="s">
        <v>26</v>
      </c>
      <c r="M176" s="2">
        <v>44523</v>
      </c>
      <c r="N176" s="17">
        <v>799.96</v>
      </c>
      <c r="O176">
        <f t="shared" ca="1" si="8"/>
        <v>4</v>
      </c>
      <c r="P176" s="2">
        <f t="shared" si="9"/>
        <v>45657</v>
      </c>
      <c r="Q176" t="str">
        <f t="shared" si="10"/>
        <v>OK</v>
      </c>
      <c r="R176" s="18">
        <f t="shared" ca="1" si="11"/>
        <v>46310.670810300922</v>
      </c>
    </row>
    <row r="177" spans="1:18" x14ac:dyDescent="0.25">
      <c r="A177" t="s">
        <v>324</v>
      </c>
      <c r="B177" s="2">
        <v>45655</v>
      </c>
      <c r="C177" t="s">
        <v>63</v>
      </c>
      <c r="D177" t="s">
        <v>64</v>
      </c>
      <c r="E177" t="s">
        <v>121</v>
      </c>
      <c r="F177" t="s">
        <v>122</v>
      </c>
      <c r="G177" t="s">
        <v>23</v>
      </c>
      <c r="H177">
        <v>1</v>
      </c>
      <c r="I177" s="17">
        <v>89.99</v>
      </c>
      <c r="J177" t="s">
        <v>30</v>
      </c>
      <c r="K177" t="s">
        <v>39</v>
      </c>
      <c r="L177" t="s">
        <v>31</v>
      </c>
      <c r="M177" s="2">
        <v>44591</v>
      </c>
      <c r="N177" s="17">
        <v>89.99</v>
      </c>
      <c r="O177">
        <f t="shared" ca="1" si="8"/>
        <v>4</v>
      </c>
      <c r="P177" s="2">
        <f t="shared" si="9"/>
        <v>45657</v>
      </c>
      <c r="Q177" t="str">
        <f t="shared" si="10"/>
        <v>OK</v>
      </c>
      <c r="R177" s="18">
        <f t="shared" ca="1" si="11"/>
        <v>46310.670810300922</v>
      </c>
    </row>
    <row r="178" spans="1:18" x14ac:dyDescent="0.25">
      <c r="A178" t="s">
        <v>325</v>
      </c>
      <c r="B178" s="2">
        <v>45655</v>
      </c>
      <c r="C178" t="s">
        <v>112</v>
      </c>
      <c r="D178" t="s">
        <v>113</v>
      </c>
      <c r="E178" t="s">
        <v>48</v>
      </c>
      <c r="F178" t="s">
        <v>49</v>
      </c>
      <c r="G178" t="s">
        <v>50</v>
      </c>
      <c r="H178">
        <v>5</v>
      </c>
      <c r="I178" s="17">
        <v>149.99</v>
      </c>
      <c r="J178" t="s">
        <v>24</v>
      </c>
      <c r="K178" t="s">
        <v>25</v>
      </c>
      <c r="L178" t="s">
        <v>31</v>
      </c>
      <c r="M178" s="2">
        <v>45347</v>
      </c>
      <c r="N178" s="17">
        <v>749.95</v>
      </c>
      <c r="O178">
        <f t="shared" ca="1" si="8"/>
        <v>2</v>
      </c>
      <c r="P178" s="2">
        <f t="shared" si="9"/>
        <v>45657</v>
      </c>
      <c r="Q178" t="str">
        <f t="shared" si="10"/>
        <v>OK</v>
      </c>
      <c r="R178" s="18">
        <f t="shared" ca="1" si="11"/>
        <v>46310.670810300922</v>
      </c>
    </row>
    <row r="179" spans="1:18" x14ac:dyDescent="0.25">
      <c r="A179" t="s">
        <v>326</v>
      </c>
      <c r="B179" s="2">
        <v>45657</v>
      </c>
      <c r="C179" t="s">
        <v>90</v>
      </c>
      <c r="D179" t="s">
        <v>91</v>
      </c>
      <c r="E179" t="s">
        <v>65</v>
      </c>
      <c r="F179" t="s">
        <v>66</v>
      </c>
      <c r="G179" t="s">
        <v>23</v>
      </c>
      <c r="H179">
        <v>1</v>
      </c>
      <c r="I179" s="17">
        <v>899.99</v>
      </c>
      <c r="J179" t="s">
        <v>38</v>
      </c>
      <c r="K179" t="s">
        <v>44</v>
      </c>
      <c r="L179" t="s">
        <v>31</v>
      </c>
      <c r="M179" s="2">
        <v>45050</v>
      </c>
      <c r="N179" s="17">
        <v>899.99</v>
      </c>
      <c r="O179">
        <f t="shared" ca="1" si="8"/>
        <v>3</v>
      </c>
      <c r="P179" s="2">
        <f t="shared" si="9"/>
        <v>45657</v>
      </c>
      <c r="Q179" t="str">
        <f t="shared" si="10"/>
        <v>OK</v>
      </c>
      <c r="R179" s="18">
        <f t="shared" ca="1" si="11"/>
        <v>46310.670810300922</v>
      </c>
    </row>
    <row r="180" spans="1:18" x14ac:dyDescent="0.25">
      <c r="A180" t="s">
        <v>327</v>
      </c>
      <c r="B180" s="2">
        <v>45660</v>
      </c>
      <c r="C180" t="s">
        <v>151</v>
      </c>
      <c r="D180" t="s">
        <v>152</v>
      </c>
      <c r="E180" t="s">
        <v>121</v>
      </c>
      <c r="F180" t="s">
        <v>122</v>
      </c>
      <c r="G180" t="s">
        <v>23</v>
      </c>
      <c r="H180">
        <v>2</v>
      </c>
      <c r="I180" s="17">
        <v>89.99</v>
      </c>
      <c r="J180" t="s">
        <v>30</v>
      </c>
      <c r="K180" t="s">
        <v>39</v>
      </c>
      <c r="L180" t="s">
        <v>31</v>
      </c>
      <c r="M180" s="2">
        <v>44564</v>
      </c>
      <c r="N180" s="17">
        <v>179.98</v>
      </c>
      <c r="O180">
        <f t="shared" ca="1" si="8"/>
        <v>4</v>
      </c>
      <c r="P180" s="2">
        <f t="shared" si="9"/>
        <v>45688</v>
      </c>
      <c r="Q180" t="str">
        <f t="shared" si="10"/>
        <v>OK</v>
      </c>
      <c r="R180" s="18">
        <f t="shared" ca="1" si="11"/>
        <v>46310.670810300922</v>
      </c>
    </row>
    <row r="181" spans="1:18" x14ac:dyDescent="0.25">
      <c r="A181" t="s">
        <v>328</v>
      </c>
      <c r="B181" s="2">
        <v>45661</v>
      </c>
      <c r="C181" t="s">
        <v>329</v>
      </c>
      <c r="D181" t="s">
        <v>330</v>
      </c>
      <c r="E181" t="s">
        <v>65</v>
      </c>
      <c r="F181" t="s">
        <v>66</v>
      </c>
      <c r="G181" t="s">
        <v>23</v>
      </c>
      <c r="H181">
        <v>1</v>
      </c>
      <c r="I181" s="17">
        <v>899.99</v>
      </c>
      <c r="J181" t="s">
        <v>38</v>
      </c>
      <c r="K181" t="s">
        <v>44</v>
      </c>
      <c r="L181" t="s">
        <v>40</v>
      </c>
      <c r="M181" s="2">
        <v>44752</v>
      </c>
      <c r="N181" s="17">
        <v>899.99</v>
      </c>
      <c r="O181">
        <f t="shared" ca="1" si="8"/>
        <v>4</v>
      </c>
      <c r="P181" s="2">
        <f t="shared" si="9"/>
        <v>45688</v>
      </c>
      <c r="Q181" t="str">
        <f t="shared" si="10"/>
        <v>OK</v>
      </c>
      <c r="R181" s="18">
        <f t="shared" ca="1" si="11"/>
        <v>46310.670810300922</v>
      </c>
    </row>
    <row r="182" spans="1:18" x14ac:dyDescent="0.25">
      <c r="A182" t="s">
        <v>331</v>
      </c>
      <c r="B182" s="2">
        <v>45663</v>
      </c>
      <c r="C182" t="s">
        <v>133</v>
      </c>
      <c r="D182" t="s">
        <v>134</v>
      </c>
      <c r="E182" t="s">
        <v>56</v>
      </c>
      <c r="F182" t="s">
        <v>57</v>
      </c>
      <c r="G182" t="s">
        <v>23</v>
      </c>
      <c r="H182">
        <v>5</v>
      </c>
      <c r="I182" s="17">
        <v>149.99</v>
      </c>
      <c r="J182" t="s">
        <v>38</v>
      </c>
      <c r="K182" t="s">
        <v>67</v>
      </c>
      <c r="L182" t="s">
        <v>31</v>
      </c>
      <c r="M182" s="2">
        <v>44824</v>
      </c>
      <c r="N182" s="17">
        <v>749.95</v>
      </c>
      <c r="O182">
        <f t="shared" ca="1" si="8"/>
        <v>4</v>
      </c>
      <c r="P182" s="2">
        <f t="shared" si="9"/>
        <v>45688</v>
      </c>
      <c r="Q182" t="str">
        <f t="shared" si="10"/>
        <v>OK</v>
      </c>
      <c r="R182" s="18">
        <f t="shared" ca="1" si="11"/>
        <v>46310.670810300922</v>
      </c>
    </row>
    <row r="183" spans="1:18" x14ac:dyDescent="0.25">
      <c r="A183" t="s">
        <v>332</v>
      </c>
      <c r="B183" s="2">
        <v>45663</v>
      </c>
      <c r="C183" t="s">
        <v>46</v>
      </c>
      <c r="D183" t="s">
        <v>47</v>
      </c>
      <c r="E183" t="s">
        <v>109</v>
      </c>
      <c r="F183" t="s">
        <v>110</v>
      </c>
      <c r="G183" t="s">
        <v>50</v>
      </c>
      <c r="H183">
        <v>3</v>
      </c>
      <c r="I183" s="17">
        <v>299.99</v>
      </c>
      <c r="J183" t="s">
        <v>24</v>
      </c>
      <c r="K183" t="s">
        <v>39</v>
      </c>
      <c r="L183" t="s">
        <v>40</v>
      </c>
      <c r="M183" s="2">
        <v>44422</v>
      </c>
      <c r="N183" s="17">
        <v>899.97</v>
      </c>
      <c r="O183">
        <f t="shared" ca="1" si="8"/>
        <v>5</v>
      </c>
      <c r="P183" s="2">
        <f t="shared" si="9"/>
        <v>45688</v>
      </c>
      <c r="Q183" t="str">
        <f t="shared" si="10"/>
        <v>OK</v>
      </c>
      <c r="R183" s="18">
        <f t="shared" ca="1" si="11"/>
        <v>46310.670810300922</v>
      </c>
    </row>
    <row r="184" spans="1:18" x14ac:dyDescent="0.25">
      <c r="A184" t="s">
        <v>333</v>
      </c>
      <c r="B184" s="2">
        <v>45666</v>
      </c>
      <c r="C184" t="s">
        <v>69</v>
      </c>
      <c r="D184" t="s">
        <v>70</v>
      </c>
      <c r="E184" t="s">
        <v>84</v>
      </c>
      <c r="F184" t="s">
        <v>85</v>
      </c>
      <c r="G184" t="s">
        <v>23</v>
      </c>
      <c r="H184">
        <v>3</v>
      </c>
      <c r="I184" s="17">
        <v>699.99</v>
      </c>
      <c r="J184" t="s">
        <v>30</v>
      </c>
      <c r="K184" t="s">
        <v>25</v>
      </c>
      <c r="L184" t="s">
        <v>31</v>
      </c>
      <c r="M184" s="2">
        <v>45105</v>
      </c>
      <c r="N184" s="17">
        <v>2099.9699999999998</v>
      </c>
      <c r="O184">
        <f t="shared" ca="1" si="8"/>
        <v>3</v>
      </c>
      <c r="P184" s="2">
        <f t="shared" si="9"/>
        <v>45688</v>
      </c>
      <c r="Q184" t="str">
        <f t="shared" si="10"/>
        <v>OK</v>
      </c>
      <c r="R184" s="18">
        <f t="shared" ca="1" si="11"/>
        <v>46310.670810300922</v>
      </c>
    </row>
    <row r="185" spans="1:18" x14ac:dyDescent="0.25">
      <c r="A185" t="s">
        <v>334</v>
      </c>
      <c r="B185" s="2">
        <v>45667</v>
      </c>
      <c r="C185" t="s">
        <v>112</v>
      </c>
      <c r="D185" t="s">
        <v>113</v>
      </c>
      <c r="E185" t="s">
        <v>130</v>
      </c>
      <c r="F185" t="s">
        <v>131</v>
      </c>
      <c r="G185" t="s">
        <v>50</v>
      </c>
      <c r="H185">
        <v>5</v>
      </c>
      <c r="I185" s="17">
        <v>199.99</v>
      </c>
      <c r="J185" t="s">
        <v>38</v>
      </c>
      <c r="K185" t="s">
        <v>25</v>
      </c>
      <c r="L185" t="s">
        <v>40</v>
      </c>
      <c r="M185" s="2">
        <v>44633</v>
      </c>
      <c r="N185" s="17">
        <v>999.95</v>
      </c>
      <c r="O185">
        <f t="shared" ca="1" si="8"/>
        <v>4</v>
      </c>
      <c r="P185" s="2">
        <f t="shared" si="9"/>
        <v>45688</v>
      </c>
      <c r="Q185" t="str">
        <f t="shared" si="10"/>
        <v>OK</v>
      </c>
      <c r="R185" s="18">
        <f t="shared" ca="1" si="11"/>
        <v>46310.670810300922</v>
      </c>
    </row>
    <row r="186" spans="1:18" x14ac:dyDescent="0.25">
      <c r="A186" t="s">
        <v>335</v>
      </c>
      <c r="B186" s="2">
        <v>45667</v>
      </c>
      <c r="C186" t="s">
        <v>97</v>
      </c>
      <c r="D186" t="s">
        <v>98</v>
      </c>
      <c r="E186" t="s">
        <v>21</v>
      </c>
      <c r="F186" t="s">
        <v>22</v>
      </c>
      <c r="G186" t="s">
        <v>23</v>
      </c>
      <c r="H186">
        <v>5</v>
      </c>
      <c r="I186" s="17">
        <v>249.99</v>
      </c>
      <c r="J186" t="s">
        <v>30</v>
      </c>
      <c r="K186" t="s">
        <v>39</v>
      </c>
      <c r="L186" t="s">
        <v>26</v>
      </c>
      <c r="M186" s="2">
        <v>45330</v>
      </c>
      <c r="N186" s="17">
        <v>1249.95</v>
      </c>
      <c r="O186">
        <f t="shared" ca="1" si="8"/>
        <v>2</v>
      </c>
      <c r="P186" s="2">
        <f t="shared" si="9"/>
        <v>45688</v>
      </c>
      <c r="Q186" t="str">
        <f t="shared" si="10"/>
        <v>OK</v>
      </c>
      <c r="R186" s="18">
        <f t="shared" ca="1" si="11"/>
        <v>46310.670810300922</v>
      </c>
    </row>
    <row r="187" spans="1:18" x14ac:dyDescent="0.25">
      <c r="A187" t="s">
        <v>336</v>
      </c>
      <c r="B187" s="2">
        <v>45668</v>
      </c>
      <c r="C187" t="s">
        <v>142</v>
      </c>
      <c r="D187" t="s">
        <v>143</v>
      </c>
      <c r="E187" t="s">
        <v>56</v>
      </c>
      <c r="F187" t="s">
        <v>57</v>
      </c>
      <c r="G187" t="s">
        <v>23</v>
      </c>
      <c r="H187">
        <v>4</v>
      </c>
      <c r="I187" s="17">
        <v>149.99</v>
      </c>
      <c r="J187" t="s">
        <v>61</v>
      </c>
      <c r="K187" t="s">
        <v>67</v>
      </c>
      <c r="L187" t="s">
        <v>40</v>
      </c>
      <c r="M187" s="2">
        <v>44536</v>
      </c>
      <c r="N187" s="17">
        <v>599.96</v>
      </c>
      <c r="O187">
        <f t="shared" ca="1" si="8"/>
        <v>4</v>
      </c>
      <c r="P187" s="2">
        <f t="shared" si="9"/>
        <v>45688</v>
      </c>
      <c r="Q187" t="str">
        <f t="shared" si="10"/>
        <v>OK</v>
      </c>
      <c r="R187" s="18">
        <f t="shared" ca="1" si="11"/>
        <v>46310.670810300922</v>
      </c>
    </row>
    <row r="188" spans="1:18" x14ac:dyDescent="0.25">
      <c r="A188" t="s">
        <v>337</v>
      </c>
      <c r="B188" s="2">
        <v>45668</v>
      </c>
      <c r="C188" t="s">
        <v>82</v>
      </c>
      <c r="D188" t="s">
        <v>83</v>
      </c>
      <c r="E188" t="s">
        <v>84</v>
      </c>
      <c r="F188" t="s">
        <v>85</v>
      </c>
      <c r="G188" t="s">
        <v>23</v>
      </c>
      <c r="H188">
        <v>3</v>
      </c>
      <c r="I188" s="17">
        <v>699.99</v>
      </c>
      <c r="J188" t="s">
        <v>24</v>
      </c>
      <c r="K188" t="s">
        <v>44</v>
      </c>
      <c r="L188" t="s">
        <v>31</v>
      </c>
      <c r="M188" s="2">
        <v>44602</v>
      </c>
      <c r="N188" s="17">
        <v>2099.9699999999998</v>
      </c>
      <c r="O188">
        <f t="shared" ca="1" si="8"/>
        <v>4</v>
      </c>
      <c r="P188" s="2">
        <f t="shared" si="9"/>
        <v>45688</v>
      </c>
      <c r="Q188" t="str">
        <f t="shared" si="10"/>
        <v>OK</v>
      </c>
      <c r="R188" s="18">
        <f t="shared" ca="1" si="11"/>
        <v>46310.670810300922</v>
      </c>
    </row>
    <row r="189" spans="1:18" x14ac:dyDescent="0.25">
      <c r="A189" t="s">
        <v>338</v>
      </c>
      <c r="B189" s="2">
        <v>45670</v>
      </c>
      <c r="C189" t="s">
        <v>297</v>
      </c>
      <c r="D189" t="s">
        <v>298</v>
      </c>
      <c r="E189" t="s">
        <v>118</v>
      </c>
      <c r="F189" t="s">
        <v>119</v>
      </c>
      <c r="G189" t="s">
        <v>37</v>
      </c>
      <c r="H189">
        <v>1</v>
      </c>
      <c r="I189" s="17">
        <v>79.989999999999995</v>
      </c>
      <c r="J189" t="s">
        <v>30</v>
      </c>
      <c r="K189" t="s">
        <v>39</v>
      </c>
      <c r="L189" t="s">
        <v>26</v>
      </c>
      <c r="M189" s="2">
        <v>45322</v>
      </c>
      <c r="N189" s="17">
        <v>79.989999999999995</v>
      </c>
      <c r="O189">
        <f t="shared" ca="1" si="8"/>
        <v>2</v>
      </c>
      <c r="P189" s="2">
        <f t="shared" si="9"/>
        <v>45688</v>
      </c>
      <c r="Q189" t="str">
        <f t="shared" si="10"/>
        <v>OK</v>
      </c>
      <c r="R189" s="18">
        <f t="shared" ca="1" si="11"/>
        <v>46310.670810300922</v>
      </c>
    </row>
    <row r="190" spans="1:18" x14ac:dyDescent="0.25">
      <c r="A190" t="s">
        <v>339</v>
      </c>
      <c r="B190" s="2">
        <v>45670</v>
      </c>
      <c r="C190" t="s">
        <v>90</v>
      </c>
      <c r="D190" t="s">
        <v>91</v>
      </c>
      <c r="E190" t="s">
        <v>109</v>
      </c>
      <c r="F190" t="s">
        <v>110</v>
      </c>
      <c r="G190" t="s">
        <v>50</v>
      </c>
      <c r="H190">
        <v>1</v>
      </c>
      <c r="I190" s="17">
        <v>299.99</v>
      </c>
      <c r="J190" t="s">
        <v>30</v>
      </c>
      <c r="K190" t="s">
        <v>44</v>
      </c>
      <c r="L190" t="s">
        <v>26</v>
      </c>
      <c r="M190" s="2">
        <v>44436</v>
      </c>
      <c r="N190" s="17">
        <v>299.99</v>
      </c>
      <c r="O190">
        <f t="shared" ca="1" si="8"/>
        <v>5</v>
      </c>
      <c r="P190" s="2">
        <f t="shared" si="9"/>
        <v>45688</v>
      </c>
      <c r="Q190" t="str">
        <f t="shared" si="10"/>
        <v>OK</v>
      </c>
      <c r="R190" s="18">
        <f t="shared" ca="1" si="11"/>
        <v>46310.670810300922</v>
      </c>
    </row>
    <row r="191" spans="1:18" x14ac:dyDescent="0.25">
      <c r="A191" t="s">
        <v>340</v>
      </c>
      <c r="B191" s="2">
        <v>45671</v>
      </c>
      <c r="C191" t="s">
        <v>162</v>
      </c>
      <c r="D191" t="s">
        <v>163</v>
      </c>
      <c r="E191" t="s">
        <v>21</v>
      </c>
      <c r="F191" t="s">
        <v>22</v>
      </c>
      <c r="G191" t="s">
        <v>23</v>
      </c>
      <c r="H191">
        <v>4</v>
      </c>
      <c r="I191" s="17">
        <v>249.99</v>
      </c>
      <c r="J191" t="s">
        <v>30</v>
      </c>
      <c r="K191" t="s">
        <v>44</v>
      </c>
      <c r="L191" t="s">
        <v>31</v>
      </c>
      <c r="M191" s="2">
        <v>44460</v>
      </c>
      <c r="N191" s="17">
        <v>999.96</v>
      </c>
      <c r="O191">
        <f t="shared" ca="1" si="8"/>
        <v>5</v>
      </c>
      <c r="P191" s="2">
        <f t="shared" si="9"/>
        <v>45688</v>
      </c>
      <c r="Q191" t="str">
        <f t="shared" si="10"/>
        <v>OK</v>
      </c>
      <c r="R191" s="18">
        <f t="shared" ca="1" si="11"/>
        <v>46310.670810300922</v>
      </c>
    </row>
    <row r="192" spans="1:18" x14ac:dyDescent="0.25">
      <c r="A192" t="s">
        <v>341</v>
      </c>
      <c r="B192" s="2">
        <v>45671</v>
      </c>
      <c r="C192" t="s">
        <v>124</v>
      </c>
      <c r="D192" t="s">
        <v>125</v>
      </c>
      <c r="E192" t="s">
        <v>56</v>
      </c>
      <c r="F192" t="s">
        <v>57</v>
      </c>
      <c r="G192" t="s">
        <v>23</v>
      </c>
      <c r="H192">
        <v>2</v>
      </c>
      <c r="I192" s="17">
        <v>149.99</v>
      </c>
      <c r="J192" t="s">
        <v>24</v>
      </c>
      <c r="K192" t="s">
        <v>44</v>
      </c>
      <c r="L192" t="s">
        <v>40</v>
      </c>
      <c r="M192" s="2">
        <v>44913</v>
      </c>
      <c r="N192" s="17">
        <v>299.98</v>
      </c>
      <c r="O192">
        <f t="shared" ca="1" si="8"/>
        <v>3</v>
      </c>
      <c r="P192" s="2">
        <f t="shared" si="9"/>
        <v>45688</v>
      </c>
      <c r="Q192" t="str">
        <f t="shared" si="10"/>
        <v>OK</v>
      </c>
      <c r="R192" s="18">
        <f t="shared" ca="1" si="11"/>
        <v>46310.670810300922</v>
      </c>
    </row>
    <row r="193" spans="1:18" x14ac:dyDescent="0.25">
      <c r="A193" t="s">
        <v>342</v>
      </c>
      <c r="B193" s="2">
        <v>45671</v>
      </c>
      <c r="C193" t="s">
        <v>238</v>
      </c>
      <c r="D193" t="s">
        <v>239</v>
      </c>
      <c r="E193" t="s">
        <v>109</v>
      </c>
      <c r="F193" t="s">
        <v>110</v>
      </c>
      <c r="G193" t="s">
        <v>50</v>
      </c>
      <c r="H193">
        <v>3</v>
      </c>
      <c r="I193" s="17">
        <v>299.99</v>
      </c>
      <c r="J193" t="s">
        <v>30</v>
      </c>
      <c r="K193" t="s">
        <v>39</v>
      </c>
      <c r="L193" t="s">
        <v>26</v>
      </c>
      <c r="M193" s="2">
        <v>45204</v>
      </c>
      <c r="N193" s="17">
        <v>899.97</v>
      </c>
      <c r="O193">
        <f t="shared" ca="1" si="8"/>
        <v>3</v>
      </c>
      <c r="P193" s="2">
        <f t="shared" si="9"/>
        <v>45688</v>
      </c>
      <c r="Q193" t="str">
        <f t="shared" si="10"/>
        <v>OK</v>
      </c>
      <c r="R193" s="18">
        <f t="shared" ca="1" si="11"/>
        <v>46310.670810300922</v>
      </c>
    </row>
    <row r="194" spans="1:18" x14ac:dyDescent="0.25">
      <c r="A194" t="s">
        <v>343</v>
      </c>
      <c r="B194" s="2">
        <v>45673</v>
      </c>
      <c r="C194" t="s">
        <v>230</v>
      </c>
      <c r="D194" t="s">
        <v>231</v>
      </c>
      <c r="E194" t="s">
        <v>130</v>
      </c>
      <c r="F194" t="s">
        <v>131</v>
      </c>
      <c r="G194" t="s">
        <v>50</v>
      </c>
      <c r="H194">
        <v>4</v>
      </c>
      <c r="I194" s="17">
        <v>199.99</v>
      </c>
      <c r="J194" t="s">
        <v>61</v>
      </c>
      <c r="K194" t="s">
        <v>39</v>
      </c>
      <c r="L194" t="s">
        <v>40</v>
      </c>
      <c r="M194" s="2">
        <v>44544</v>
      </c>
      <c r="N194" s="17">
        <v>799.96</v>
      </c>
      <c r="O194">
        <f t="shared" ref="O194:O251" ca="1" si="12">IFERROR(DATEDIF(M194,TODAY(),"Y"),0)</f>
        <v>4</v>
      </c>
      <c r="P194" s="2">
        <f t="shared" ref="P194:P251" si="13">EOMONTH(B194,0)</f>
        <v>45688</v>
      </c>
      <c r="Q194" t="str">
        <f t="shared" ref="Q194:Q251" si="14">IF(ABS(N194-H194*I194)&lt;1,"OK","Check")</f>
        <v>OK</v>
      </c>
      <c r="R194" s="18">
        <f t="shared" ref="R194:R251" ca="1" si="15">IF(A194&lt;&gt;"",NOW(),"")</f>
        <v>46310.670810300922</v>
      </c>
    </row>
    <row r="195" spans="1:18" x14ac:dyDescent="0.25">
      <c r="A195" t="s">
        <v>344</v>
      </c>
      <c r="B195" s="2">
        <v>45673</v>
      </c>
      <c r="C195" t="s">
        <v>215</v>
      </c>
      <c r="D195" t="s">
        <v>216</v>
      </c>
      <c r="E195" t="s">
        <v>109</v>
      </c>
      <c r="F195" t="s">
        <v>110</v>
      </c>
      <c r="G195" t="s">
        <v>50</v>
      </c>
      <c r="H195">
        <v>5</v>
      </c>
      <c r="I195" s="17">
        <v>299.99</v>
      </c>
      <c r="J195" t="s">
        <v>61</v>
      </c>
      <c r="K195" t="s">
        <v>25</v>
      </c>
      <c r="L195" t="s">
        <v>26</v>
      </c>
      <c r="M195" s="2">
        <v>44431</v>
      </c>
      <c r="N195" s="17">
        <v>1499.95</v>
      </c>
      <c r="O195">
        <f t="shared" ca="1" si="12"/>
        <v>5</v>
      </c>
      <c r="P195" s="2">
        <f t="shared" si="13"/>
        <v>45688</v>
      </c>
      <c r="Q195" t="str">
        <f t="shared" si="14"/>
        <v>OK</v>
      </c>
      <c r="R195" s="18">
        <f t="shared" ca="1" si="15"/>
        <v>46310.670810300922</v>
      </c>
    </row>
    <row r="196" spans="1:18" x14ac:dyDescent="0.25">
      <c r="A196" t="s">
        <v>345</v>
      </c>
      <c r="B196" s="2">
        <v>45673</v>
      </c>
      <c r="C196" t="s">
        <v>63</v>
      </c>
      <c r="D196" t="s">
        <v>64</v>
      </c>
      <c r="E196" t="s">
        <v>48</v>
      </c>
      <c r="F196" t="s">
        <v>49</v>
      </c>
      <c r="G196" t="s">
        <v>50</v>
      </c>
      <c r="H196">
        <v>3</v>
      </c>
      <c r="I196" s="17">
        <v>149.99</v>
      </c>
      <c r="J196" t="s">
        <v>30</v>
      </c>
      <c r="K196" t="s">
        <v>67</v>
      </c>
      <c r="L196" t="s">
        <v>40</v>
      </c>
      <c r="M196" s="2">
        <v>44395</v>
      </c>
      <c r="N196" s="17">
        <v>449.97</v>
      </c>
      <c r="O196">
        <f t="shared" ca="1" si="12"/>
        <v>5</v>
      </c>
      <c r="P196" s="2">
        <f t="shared" si="13"/>
        <v>45688</v>
      </c>
      <c r="Q196" t="str">
        <f t="shared" si="14"/>
        <v>OK</v>
      </c>
      <c r="R196" s="18">
        <f t="shared" ca="1" si="15"/>
        <v>46310.670810300922</v>
      </c>
    </row>
    <row r="197" spans="1:18" x14ac:dyDescent="0.25">
      <c r="A197" t="s">
        <v>346</v>
      </c>
      <c r="B197" s="2">
        <v>45676</v>
      </c>
      <c r="C197" t="s">
        <v>133</v>
      </c>
      <c r="D197" t="s">
        <v>134</v>
      </c>
      <c r="E197" t="s">
        <v>35</v>
      </c>
      <c r="F197" t="s">
        <v>36</v>
      </c>
      <c r="G197" t="s">
        <v>37</v>
      </c>
      <c r="H197">
        <v>5</v>
      </c>
      <c r="I197" s="17">
        <v>59.99</v>
      </c>
      <c r="J197" t="s">
        <v>61</v>
      </c>
      <c r="K197" t="s">
        <v>67</v>
      </c>
      <c r="L197" t="s">
        <v>26</v>
      </c>
      <c r="M197" s="2">
        <v>44642</v>
      </c>
      <c r="N197" s="17">
        <v>299.95</v>
      </c>
      <c r="O197">
        <f t="shared" ca="1" si="12"/>
        <v>4</v>
      </c>
      <c r="P197" s="2">
        <f t="shared" si="13"/>
        <v>45688</v>
      </c>
      <c r="Q197" t="str">
        <f t="shared" si="14"/>
        <v>OK</v>
      </c>
      <c r="R197" s="18">
        <f t="shared" ca="1" si="15"/>
        <v>46310.670810300922</v>
      </c>
    </row>
    <row r="198" spans="1:18" x14ac:dyDescent="0.25">
      <c r="A198" t="s">
        <v>347</v>
      </c>
      <c r="B198" s="2">
        <v>45682</v>
      </c>
      <c r="C198" t="s">
        <v>72</v>
      </c>
      <c r="D198" t="s">
        <v>73</v>
      </c>
      <c r="E198" t="s">
        <v>35</v>
      </c>
      <c r="F198" t="s">
        <v>36</v>
      </c>
      <c r="G198" t="s">
        <v>37</v>
      </c>
      <c r="H198">
        <v>4</v>
      </c>
      <c r="I198" s="17">
        <v>59.99</v>
      </c>
      <c r="J198" t="s">
        <v>61</v>
      </c>
      <c r="K198" t="s">
        <v>67</v>
      </c>
      <c r="L198" t="s">
        <v>40</v>
      </c>
      <c r="M198" s="2">
        <v>44564</v>
      </c>
      <c r="N198" s="17">
        <v>239.96</v>
      </c>
      <c r="O198">
        <f t="shared" ca="1" si="12"/>
        <v>4</v>
      </c>
      <c r="P198" s="2">
        <f t="shared" si="13"/>
        <v>45688</v>
      </c>
      <c r="Q198" t="str">
        <f t="shared" si="14"/>
        <v>OK</v>
      </c>
      <c r="R198" s="18">
        <f t="shared" ca="1" si="15"/>
        <v>46310.670810300922</v>
      </c>
    </row>
    <row r="199" spans="1:18" x14ac:dyDescent="0.25">
      <c r="A199" t="s">
        <v>348</v>
      </c>
      <c r="B199" s="2">
        <v>45683</v>
      </c>
      <c r="C199" t="s">
        <v>52</v>
      </c>
      <c r="D199" t="s">
        <v>53</v>
      </c>
      <c r="E199" t="s">
        <v>21</v>
      </c>
      <c r="F199" t="s">
        <v>22</v>
      </c>
      <c r="G199" t="s">
        <v>23</v>
      </c>
      <c r="H199">
        <v>4</v>
      </c>
      <c r="I199" s="17">
        <v>249.99</v>
      </c>
      <c r="J199" t="s">
        <v>61</v>
      </c>
      <c r="K199" t="s">
        <v>25</v>
      </c>
      <c r="L199" t="s">
        <v>31</v>
      </c>
      <c r="M199" s="2">
        <v>45217</v>
      </c>
      <c r="N199" s="17">
        <v>999.96</v>
      </c>
      <c r="O199">
        <f t="shared" ca="1" si="12"/>
        <v>2</v>
      </c>
      <c r="P199" s="2">
        <f t="shared" si="13"/>
        <v>45688</v>
      </c>
      <c r="Q199" t="str">
        <f t="shared" si="14"/>
        <v>OK</v>
      </c>
      <c r="R199" s="18">
        <f t="shared" ca="1" si="15"/>
        <v>46310.670810300922</v>
      </c>
    </row>
    <row r="200" spans="1:18" x14ac:dyDescent="0.25">
      <c r="A200" t="s">
        <v>349</v>
      </c>
      <c r="B200" s="2">
        <v>45686</v>
      </c>
      <c r="C200" t="s">
        <v>256</v>
      </c>
      <c r="D200" t="s">
        <v>257</v>
      </c>
      <c r="E200" t="s">
        <v>65</v>
      </c>
      <c r="F200" t="s">
        <v>66</v>
      </c>
      <c r="G200" t="s">
        <v>23</v>
      </c>
      <c r="H200">
        <v>4</v>
      </c>
      <c r="I200" s="17">
        <v>899.99</v>
      </c>
      <c r="J200" t="s">
        <v>38</v>
      </c>
      <c r="K200" t="s">
        <v>25</v>
      </c>
      <c r="L200" t="s">
        <v>26</v>
      </c>
      <c r="M200" s="2">
        <v>44734</v>
      </c>
      <c r="N200" s="17">
        <v>3599.96</v>
      </c>
      <c r="O200">
        <f t="shared" ca="1" si="12"/>
        <v>4</v>
      </c>
      <c r="P200" s="2">
        <f t="shared" si="13"/>
        <v>45688</v>
      </c>
      <c r="Q200" t="str">
        <f t="shared" si="14"/>
        <v>OK</v>
      </c>
      <c r="R200" s="18">
        <f t="shared" ca="1" si="15"/>
        <v>46310.670810300922</v>
      </c>
    </row>
    <row r="201" spans="1:18" x14ac:dyDescent="0.25">
      <c r="A201" t="s">
        <v>350</v>
      </c>
      <c r="B201" s="2">
        <v>45686</v>
      </c>
      <c r="C201" t="s">
        <v>90</v>
      </c>
      <c r="D201" t="s">
        <v>91</v>
      </c>
      <c r="E201" t="s">
        <v>109</v>
      </c>
      <c r="F201" t="s">
        <v>110</v>
      </c>
      <c r="G201" t="s">
        <v>50</v>
      </c>
      <c r="H201">
        <v>3</v>
      </c>
      <c r="I201" s="17">
        <v>299.99</v>
      </c>
      <c r="J201" t="s">
        <v>61</v>
      </c>
      <c r="K201" t="s">
        <v>54</v>
      </c>
      <c r="L201" t="s">
        <v>40</v>
      </c>
      <c r="M201" s="2">
        <v>44952</v>
      </c>
      <c r="N201" s="17">
        <v>899.97</v>
      </c>
      <c r="O201">
        <f t="shared" ca="1" si="12"/>
        <v>3</v>
      </c>
      <c r="P201" s="2">
        <f t="shared" si="13"/>
        <v>45688</v>
      </c>
      <c r="Q201" t="str">
        <f t="shared" si="14"/>
        <v>OK</v>
      </c>
      <c r="R201" s="18">
        <f t="shared" ca="1" si="15"/>
        <v>46310.670810300922</v>
      </c>
    </row>
    <row r="202" spans="1:18" x14ac:dyDescent="0.25">
      <c r="A202" t="s">
        <v>351</v>
      </c>
      <c r="B202" s="2">
        <v>45686</v>
      </c>
      <c r="C202" t="s">
        <v>297</v>
      </c>
      <c r="D202" t="s">
        <v>298</v>
      </c>
      <c r="E202" t="s">
        <v>84</v>
      </c>
      <c r="F202" t="s">
        <v>85</v>
      </c>
      <c r="G202" t="s">
        <v>23</v>
      </c>
      <c r="H202">
        <v>2</v>
      </c>
      <c r="I202" s="17">
        <v>699.99</v>
      </c>
      <c r="J202" t="s">
        <v>61</v>
      </c>
      <c r="K202" t="s">
        <v>25</v>
      </c>
      <c r="L202" t="s">
        <v>31</v>
      </c>
      <c r="M202" s="2">
        <v>44681</v>
      </c>
      <c r="N202" s="17">
        <v>1399.98</v>
      </c>
      <c r="O202">
        <f t="shared" ca="1" si="12"/>
        <v>4</v>
      </c>
      <c r="P202" s="2">
        <f t="shared" si="13"/>
        <v>45688</v>
      </c>
      <c r="Q202" t="str">
        <f t="shared" si="14"/>
        <v>OK</v>
      </c>
      <c r="R202" s="18">
        <f t="shared" ca="1" si="15"/>
        <v>46310.670810300922</v>
      </c>
    </row>
    <row r="203" spans="1:18" x14ac:dyDescent="0.25">
      <c r="A203" t="s">
        <v>352</v>
      </c>
      <c r="B203" s="2">
        <v>45688</v>
      </c>
      <c r="C203" t="s">
        <v>69</v>
      </c>
      <c r="D203" t="s">
        <v>70</v>
      </c>
      <c r="E203" t="s">
        <v>84</v>
      </c>
      <c r="F203" t="s">
        <v>85</v>
      </c>
      <c r="G203" t="s">
        <v>23</v>
      </c>
      <c r="H203">
        <v>4</v>
      </c>
      <c r="I203" s="17">
        <v>699.99</v>
      </c>
      <c r="J203" t="s">
        <v>61</v>
      </c>
      <c r="K203" t="s">
        <v>54</v>
      </c>
      <c r="L203" t="s">
        <v>31</v>
      </c>
      <c r="M203" s="2">
        <v>44692</v>
      </c>
      <c r="N203" s="17">
        <v>2799.96</v>
      </c>
      <c r="O203">
        <f t="shared" ca="1" si="12"/>
        <v>4</v>
      </c>
      <c r="P203" s="2">
        <f t="shared" si="13"/>
        <v>45688</v>
      </c>
      <c r="Q203" t="str">
        <f t="shared" si="14"/>
        <v>OK</v>
      </c>
      <c r="R203" s="18">
        <f t="shared" ca="1" si="15"/>
        <v>46310.670810300922</v>
      </c>
    </row>
    <row r="204" spans="1:18" x14ac:dyDescent="0.25">
      <c r="A204" t="s">
        <v>353</v>
      </c>
      <c r="B204" s="2">
        <v>45688</v>
      </c>
      <c r="C204" t="s">
        <v>127</v>
      </c>
      <c r="D204" t="s">
        <v>128</v>
      </c>
      <c r="E204" t="s">
        <v>121</v>
      </c>
      <c r="F204" t="s">
        <v>122</v>
      </c>
      <c r="G204" t="s">
        <v>23</v>
      </c>
      <c r="H204">
        <v>2</v>
      </c>
      <c r="I204" s="17">
        <v>89.99</v>
      </c>
      <c r="J204" t="s">
        <v>61</v>
      </c>
      <c r="K204" t="s">
        <v>39</v>
      </c>
      <c r="L204" t="s">
        <v>26</v>
      </c>
      <c r="M204" s="2">
        <v>44777</v>
      </c>
      <c r="N204" s="17">
        <v>179.98</v>
      </c>
      <c r="O204">
        <f t="shared" ca="1" si="12"/>
        <v>4</v>
      </c>
      <c r="P204" s="2">
        <f t="shared" si="13"/>
        <v>45688</v>
      </c>
      <c r="Q204" t="str">
        <f t="shared" si="14"/>
        <v>OK</v>
      </c>
      <c r="R204" s="18">
        <f t="shared" ca="1" si="15"/>
        <v>46310.670810300922</v>
      </c>
    </row>
    <row r="205" spans="1:18" x14ac:dyDescent="0.25">
      <c r="A205" t="s">
        <v>354</v>
      </c>
      <c r="B205" s="2">
        <v>45688</v>
      </c>
      <c r="C205" t="s">
        <v>46</v>
      </c>
      <c r="D205" t="s">
        <v>47</v>
      </c>
      <c r="E205" t="s">
        <v>121</v>
      </c>
      <c r="F205" t="s">
        <v>122</v>
      </c>
      <c r="G205" t="s">
        <v>23</v>
      </c>
      <c r="H205">
        <v>3</v>
      </c>
      <c r="I205" s="17">
        <v>89.99</v>
      </c>
      <c r="J205" t="s">
        <v>61</v>
      </c>
      <c r="K205" t="s">
        <v>39</v>
      </c>
      <c r="L205" t="s">
        <v>31</v>
      </c>
      <c r="M205" s="2">
        <v>45307</v>
      </c>
      <c r="N205" s="17">
        <v>269.97000000000003</v>
      </c>
      <c r="O205">
        <f t="shared" ca="1" si="12"/>
        <v>2</v>
      </c>
      <c r="P205" s="2">
        <f t="shared" si="13"/>
        <v>45688</v>
      </c>
      <c r="Q205" t="str">
        <f t="shared" si="14"/>
        <v>OK</v>
      </c>
      <c r="R205" s="18">
        <f t="shared" ca="1" si="15"/>
        <v>46310.670810300922</v>
      </c>
    </row>
    <row r="206" spans="1:18" x14ac:dyDescent="0.25">
      <c r="A206" t="s">
        <v>355</v>
      </c>
      <c r="B206" s="2">
        <v>45692</v>
      </c>
      <c r="C206" t="s">
        <v>329</v>
      </c>
      <c r="D206" t="s">
        <v>330</v>
      </c>
      <c r="E206" t="s">
        <v>35</v>
      </c>
      <c r="F206" t="s">
        <v>36</v>
      </c>
      <c r="G206" t="s">
        <v>37</v>
      </c>
      <c r="H206">
        <v>1</v>
      </c>
      <c r="I206" s="17">
        <v>59.99</v>
      </c>
      <c r="J206" t="s">
        <v>61</v>
      </c>
      <c r="K206" t="s">
        <v>25</v>
      </c>
      <c r="L206" t="s">
        <v>40</v>
      </c>
      <c r="M206" s="2">
        <v>45045</v>
      </c>
      <c r="N206" s="17">
        <v>59.99</v>
      </c>
      <c r="O206">
        <f t="shared" ca="1" si="12"/>
        <v>3</v>
      </c>
      <c r="P206" s="2">
        <f t="shared" si="13"/>
        <v>45716</v>
      </c>
      <c r="Q206" t="str">
        <f t="shared" si="14"/>
        <v>OK</v>
      </c>
      <c r="R206" s="18">
        <f t="shared" ca="1" si="15"/>
        <v>46310.670810300922</v>
      </c>
    </row>
    <row r="207" spans="1:18" x14ac:dyDescent="0.25">
      <c r="A207" t="s">
        <v>356</v>
      </c>
      <c r="B207" s="2">
        <v>45695</v>
      </c>
      <c r="C207" t="s">
        <v>250</v>
      </c>
      <c r="D207" t="s">
        <v>251</v>
      </c>
      <c r="E207" t="s">
        <v>48</v>
      </c>
      <c r="F207" t="s">
        <v>49</v>
      </c>
      <c r="G207" t="s">
        <v>50</v>
      </c>
      <c r="H207">
        <v>3</v>
      </c>
      <c r="I207" s="17">
        <v>149.99</v>
      </c>
      <c r="J207" t="s">
        <v>61</v>
      </c>
      <c r="K207" t="s">
        <v>44</v>
      </c>
      <c r="L207" t="s">
        <v>31</v>
      </c>
      <c r="M207" s="2">
        <v>44564</v>
      </c>
      <c r="N207" s="17">
        <v>449.97</v>
      </c>
      <c r="O207">
        <f t="shared" ca="1" si="12"/>
        <v>4</v>
      </c>
      <c r="P207" s="2">
        <f t="shared" si="13"/>
        <v>45716</v>
      </c>
      <c r="Q207" t="str">
        <f t="shared" si="14"/>
        <v>OK</v>
      </c>
      <c r="R207" s="18">
        <f t="shared" ca="1" si="15"/>
        <v>46310.670810300922</v>
      </c>
    </row>
    <row r="208" spans="1:18" x14ac:dyDescent="0.25">
      <c r="A208" t="s">
        <v>357</v>
      </c>
      <c r="B208" s="2">
        <v>45695</v>
      </c>
      <c r="C208" t="s">
        <v>97</v>
      </c>
      <c r="D208" t="s">
        <v>98</v>
      </c>
      <c r="E208" t="s">
        <v>109</v>
      </c>
      <c r="F208" t="s">
        <v>110</v>
      </c>
      <c r="G208" t="s">
        <v>50</v>
      </c>
      <c r="H208">
        <v>5</v>
      </c>
      <c r="I208" s="17">
        <v>299.99</v>
      </c>
      <c r="J208" t="s">
        <v>30</v>
      </c>
      <c r="K208" t="s">
        <v>39</v>
      </c>
      <c r="L208" t="s">
        <v>26</v>
      </c>
      <c r="M208" s="2">
        <v>44959</v>
      </c>
      <c r="N208" s="17">
        <v>1499.95</v>
      </c>
      <c r="O208">
        <f t="shared" ca="1" si="12"/>
        <v>3</v>
      </c>
      <c r="P208" s="2">
        <f t="shared" si="13"/>
        <v>45716</v>
      </c>
      <c r="Q208" t="str">
        <f t="shared" si="14"/>
        <v>OK</v>
      </c>
      <c r="R208" s="18">
        <f t="shared" ca="1" si="15"/>
        <v>46310.670810300922</v>
      </c>
    </row>
    <row r="209" spans="1:18" x14ac:dyDescent="0.25">
      <c r="A209" t="s">
        <v>358</v>
      </c>
      <c r="B209" s="2">
        <v>45696</v>
      </c>
      <c r="C209" t="s">
        <v>154</v>
      </c>
      <c r="D209" t="s">
        <v>155</v>
      </c>
      <c r="E209" t="s">
        <v>35</v>
      </c>
      <c r="F209" t="s">
        <v>36</v>
      </c>
      <c r="G209" t="s">
        <v>37</v>
      </c>
      <c r="H209">
        <v>5</v>
      </c>
      <c r="I209" s="17">
        <v>59.99</v>
      </c>
      <c r="J209" t="s">
        <v>61</v>
      </c>
      <c r="K209" t="s">
        <v>25</v>
      </c>
      <c r="L209" t="s">
        <v>40</v>
      </c>
      <c r="M209" s="2">
        <v>45177</v>
      </c>
      <c r="N209" s="17">
        <v>299.95</v>
      </c>
      <c r="O209">
        <f t="shared" ca="1" si="12"/>
        <v>3</v>
      </c>
      <c r="P209" s="2">
        <f t="shared" si="13"/>
        <v>45716</v>
      </c>
      <c r="Q209" t="str">
        <f t="shared" si="14"/>
        <v>OK</v>
      </c>
      <c r="R209" s="18">
        <f t="shared" ca="1" si="15"/>
        <v>46310.670810300922</v>
      </c>
    </row>
    <row r="210" spans="1:18" x14ac:dyDescent="0.25">
      <c r="A210" t="s">
        <v>359</v>
      </c>
      <c r="B210" s="2">
        <v>45701</v>
      </c>
      <c r="C210" t="s">
        <v>112</v>
      </c>
      <c r="D210" t="s">
        <v>113</v>
      </c>
      <c r="E210" t="s">
        <v>118</v>
      </c>
      <c r="F210" t="s">
        <v>119</v>
      </c>
      <c r="G210" t="s">
        <v>37</v>
      </c>
      <c r="H210">
        <v>3</v>
      </c>
      <c r="I210" s="17">
        <v>79.989999999999995</v>
      </c>
      <c r="J210" t="s">
        <v>24</v>
      </c>
      <c r="K210" t="s">
        <v>67</v>
      </c>
      <c r="L210" t="s">
        <v>31</v>
      </c>
      <c r="M210" s="2">
        <v>44436</v>
      </c>
      <c r="N210" s="17">
        <v>239.97</v>
      </c>
      <c r="O210">
        <f t="shared" ca="1" si="12"/>
        <v>5</v>
      </c>
      <c r="P210" s="2">
        <f t="shared" si="13"/>
        <v>45716</v>
      </c>
      <c r="Q210" t="str">
        <f t="shared" si="14"/>
        <v>OK</v>
      </c>
      <c r="R210" s="18">
        <f t="shared" ca="1" si="15"/>
        <v>46310.670810300922</v>
      </c>
    </row>
    <row r="211" spans="1:18" x14ac:dyDescent="0.25">
      <c r="A211" t="s">
        <v>360</v>
      </c>
      <c r="B211" s="2">
        <v>45704</v>
      </c>
      <c r="C211" t="s">
        <v>33</v>
      </c>
      <c r="D211" t="s">
        <v>34</v>
      </c>
      <c r="E211" t="s">
        <v>130</v>
      </c>
      <c r="F211" t="s">
        <v>131</v>
      </c>
      <c r="G211" t="s">
        <v>50</v>
      </c>
      <c r="H211">
        <v>3</v>
      </c>
      <c r="I211" s="17">
        <v>199.99</v>
      </c>
      <c r="J211" t="s">
        <v>24</v>
      </c>
      <c r="K211" t="s">
        <v>25</v>
      </c>
      <c r="L211" t="s">
        <v>26</v>
      </c>
      <c r="M211" s="2">
        <v>44735</v>
      </c>
      <c r="N211" s="17">
        <v>599.97</v>
      </c>
      <c r="O211">
        <f t="shared" ca="1" si="12"/>
        <v>4</v>
      </c>
      <c r="P211" s="2">
        <f t="shared" si="13"/>
        <v>45716</v>
      </c>
      <c r="Q211" t="str">
        <f t="shared" si="14"/>
        <v>OK</v>
      </c>
      <c r="R211" s="18">
        <f t="shared" ca="1" si="15"/>
        <v>46310.670810300922</v>
      </c>
    </row>
    <row r="212" spans="1:18" x14ac:dyDescent="0.25">
      <c r="A212" t="s">
        <v>361</v>
      </c>
      <c r="B212" s="2">
        <v>45704</v>
      </c>
      <c r="C212" t="s">
        <v>19</v>
      </c>
      <c r="D212" t="s">
        <v>20</v>
      </c>
      <c r="E212" t="s">
        <v>121</v>
      </c>
      <c r="F212" t="s">
        <v>122</v>
      </c>
      <c r="G212" t="s">
        <v>23</v>
      </c>
      <c r="H212">
        <v>2</v>
      </c>
      <c r="I212" s="17">
        <v>89.99</v>
      </c>
      <c r="J212" t="s">
        <v>38</v>
      </c>
      <c r="K212" t="s">
        <v>25</v>
      </c>
      <c r="L212" t="s">
        <v>26</v>
      </c>
      <c r="M212" s="2">
        <v>45257</v>
      </c>
      <c r="N212" s="17">
        <v>179.98</v>
      </c>
      <c r="O212">
        <f t="shared" ca="1" si="12"/>
        <v>2</v>
      </c>
      <c r="P212" s="2">
        <f t="shared" si="13"/>
        <v>45716</v>
      </c>
      <c r="Q212" t="str">
        <f t="shared" si="14"/>
        <v>OK</v>
      </c>
      <c r="R212" s="18">
        <f t="shared" ca="1" si="15"/>
        <v>46310.670810300922</v>
      </c>
    </row>
    <row r="213" spans="1:18" x14ac:dyDescent="0.25">
      <c r="A213" t="s">
        <v>362</v>
      </c>
      <c r="B213" s="2">
        <v>45705</v>
      </c>
      <c r="C213" t="s">
        <v>263</v>
      </c>
      <c r="D213" t="s">
        <v>264</v>
      </c>
      <c r="E213" t="s">
        <v>48</v>
      </c>
      <c r="F213" t="s">
        <v>49</v>
      </c>
      <c r="G213" t="s">
        <v>50</v>
      </c>
      <c r="H213">
        <v>2</v>
      </c>
      <c r="I213" s="17">
        <v>149.99</v>
      </c>
      <c r="J213" t="s">
        <v>24</v>
      </c>
      <c r="K213" t="s">
        <v>39</v>
      </c>
      <c r="L213" t="s">
        <v>31</v>
      </c>
      <c r="M213" s="2">
        <v>44728</v>
      </c>
      <c r="N213" s="17">
        <v>299.98</v>
      </c>
      <c r="O213">
        <f t="shared" ca="1" si="12"/>
        <v>4</v>
      </c>
      <c r="P213" s="2">
        <f t="shared" si="13"/>
        <v>45716</v>
      </c>
      <c r="Q213" t="str">
        <f t="shared" si="14"/>
        <v>OK</v>
      </c>
      <c r="R213" s="18">
        <f t="shared" ca="1" si="15"/>
        <v>46310.670810300922</v>
      </c>
    </row>
    <row r="214" spans="1:18" x14ac:dyDescent="0.25">
      <c r="A214" t="s">
        <v>363</v>
      </c>
      <c r="B214" s="2">
        <v>45707</v>
      </c>
      <c r="C214" t="s">
        <v>127</v>
      </c>
      <c r="D214" t="s">
        <v>128</v>
      </c>
      <c r="E214" t="s">
        <v>84</v>
      </c>
      <c r="F214" t="s">
        <v>85</v>
      </c>
      <c r="G214" t="s">
        <v>23</v>
      </c>
      <c r="H214">
        <v>5</v>
      </c>
      <c r="I214" s="17">
        <v>699.99</v>
      </c>
      <c r="J214" t="s">
        <v>38</v>
      </c>
      <c r="K214" t="s">
        <v>39</v>
      </c>
      <c r="L214" t="s">
        <v>31</v>
      </c>
      <c r="M214" s="2">
        <v>45352</v>
      </c>
      <c r="N214" s="17">
        <v>3499.95</v>
      </c>
      <c r="O214">
        <f t="shared" ca="1" si="12"/>
        <v>2</v>
      </c>
      <c r="P214" s="2">
        <f t="shared" si="13"/>
        <v>45716</v>
      </c>
      <c r="Q214" t="str">
        <f t="shared" si="14"/>
        <v>OK</v>
      </c>
      <c r="R214" s="18">
        <f t="shared" ca="1" si="15"/>
        <v>46310.670810300922</v>
      </c>
    </row>
    <row r="215" spans="1:18" x14ac:dyDescent="0.25">
      <c r="A215" t="s">
        <v>364</v>
      </c>
      <c r="B215" s="2">
        <v>45707</v>
      </c>
      <c r="C215" t="s">
        <v>46</v>
      </c>
      <c r="D215" t="s">
        <v>47</v>
      </c>
      <c r="E215" t="s">
        <v>48</v>
      </c>
      <c r="F215" t="s">
        <v>49</v>
      </c>
      <c r="G215" t="s">
        <v>50</v>
      </c>
      <c r="H215">
        <v>3</v>
      </c>
      <c r="I215" s="17">
        <v>149.99</v>
      </c>
      <c r="J215" t="s">
        <v>38</v>
      </c>
      <c r="K215" t="s">
        <v>25</v>
      </c>
      <c r="L215" t="s">
        <v>40</v>
      </c>
      <c r="M215" s="2">
        <v>44633</v>
      </c>
      <c r="N215" s="17">
        <v>449.97</v>
      </c>
      <c r="O215">
        <f t="shared" ca="1" si="12"/>
        <v>4</v>
      </c>
      <c r="P215" s="2">
        <f t="shared" si="13"/>
        <v>45716</v>
      </c>
      <c r="Q215" t="str">
        <f t="shared" si="14"/>
        <v>OK</v>
      </c>
      <c r="R215" s="18">
        <f t="shared" ca="1" si="15"/>
        <v>46310.670810300922</v>
      </c>
    </row>
    <row r="216" spans="1:18" x14ac:dyDescent="0.25">
      <c r="A216" t="s">
        <v>365</v>
      </c>
      <c r="B216" s="2">
        <v>45708</v>
      </c>
      <c r="C216" t="s">
        <v>100</v>
      </c>
      <c r="D216" t="s">
        <v>101</v>
      </c>
      <c r="E216" t="s">
        <v>65</v>
      </c>
      <c r="F216" t="s">
        <v>66</v>
      </c>
      <c r="G216" t="s">
        <v>23</v>
      </c>
      <c r="H216">
        <v>3</v>
      </c>
      <c r="I216" s="17">
        <v>899.99</v>
      </c>
      <c r="J216" t="s">
        <v>24</v>
      </c>
      <c r="K216" t="s">
        <v>67</v>
      </c>
      <c r="L216" t="s">
        <v>40</v>
      </c>
      <c r="M216" s="2">
        <v>44613</v>
      </c>
      <c r="N216" s="17">
        <v>2699.97</v>
      </c>
      <c r="O216">
        <f t="shared" ca="1" si="12"/>
        <v>4</v>
      </c>
      <c r="P216" s="2">
        <f t="shared" si="13"/>
        <v>45716</v>
      </c>
      <c r="Q216" t="str">
        <f t="shared" si="14"/>
        <v>OK</v>
      </c>
      <c r="R216" s="18">
        <f t="shared" ca="1" si="15"/>
        <v>46310.670810300922</v>
      </c>
    </row>
    <row r="217" spans="1:18" x14ac:dyDescent="0.25">
      <c r="A217" t="s">
        <v>366</v>
      </c>
      <c r="B217" s="2">
        <v>45708</v>
      </c>
      <c r="C217" t="s">
        <v>196</v>
      </c>
      <c r="D217" t="s">
        <v>197</v>
      </c>
      <c r="E217" t="s">
        <v>130</v>
      </c>
      <c r="F217" t="s">
        <v>131</v>
      </c>
      <c r="G217" t="s">
        <v>50</v>
      </c>
      <c r="H217">
        <v>3</v>
      </c>
      <c r="I217" s="17">
        <v>199.99</v>
      </c>
      <c r="J217" t="s">
        <v>24</v>
      </c>
      <c r="K217" t="s">
        <v>54</v>
      </c>
      <c r="L217" t="s">
        <v>31</v>
      </c>
      <c r="M217" s="2">
        <v>44823</v>
      </c>
      <c r="N217" s="17">
        <v>599.97</v>
      </c>
      <c r="O217">
        <f t="shared" ca="1" si="12"/>
        <v>4</v>
      </c>
      <c r="P217" s="2">
        <f t="shared" si="13"/>
        <v>45716</v>
      </c>
      <c r="Q217" t="str">
        <f t="shared" si="14"/>
        <v>OK</v>
      </c>
      <c r="R217" s="18">
        <f t="shared" ca="1" si="15"/>
        <v>46310.670810300922</v>
      </c>
    </row>
    <row r="218" spans="1:18" x14ac:dyDescent="0.25">
      <c r="A218" t="s">
        <v>367</v>
      </c>
      <c r="B218" s="2">
        <v>45710</v>
      </c>
      <c r="C218" t="s">
        <v>59</v>
      </c>
      <c r="D218" t="s">
        <v>60</v>
      </c>
      <c r="E218" t="s">
        <v>109</v>
      </c>
      <c r="F218" t="s">
        <v>110</v>
      </c>
      <c r="G218" t="s">
        <v>50</v>
      </c>
      <c r="H218">
        <v>5</v>
      </c>
      <c r="I218" s="17">
        <v>299.99</v>
      </c>
      <c r="J218" t="s">
        <v>24</v>
      </c>
      <c r="K218" t="s">
        <v>54</v>
      </c>
      <c r="L218" t="s">
        <v>40</v>
      </c>
      <c r="M218" s="2">
        <v>45142</v>
      </c>
      <c r="N218" s="17">
        <v>1499.95</v>
      </c>
      <c r="O218">
        <f t="shared" ca="1" si="12"/>
        <v>3</v>
      </c>
      <c r="P218" s="2">
        <f t="shared" si="13"/>
        <v>45716</v>
      </c>
      <c r="Q218" t="str">
        <f t="shared" si="14"/>
        <v>OK</v>
      </c>
      <c r="R218" s="18">
        <f t="shared" ca="1" si="15"/>
        <v>46310.670810300922</v>
      </c>
    </row>
    <row r="219" spans="1:18" x14ac:dyDescent="0.25">
      <c r="A219" t="s">
        <v>368</v>
      </c>
      <c r="B219" s="2">
        <v>45710</v>
      </c>
      <c r="C219" t="s">
        <v>154</v>
      </c>
      <c r="D219" t="s">
        <v>155</v>
      </c>
      <c r="E219" t="s">
        <v>84</v>
      </c>
      <c r="F219" t="s">
        <v>85</v>
      </c>
      <c r="G219" t="s">
        <v>23</v>
      </c>
      <c r="H219">
        <v>1</v>
      </c>
      <c r="I219" s="17">
        <v>699.99</v>
      </c>
      <c r="J219" t="s">
        <v>38</v>
      </c>
      <c r="K219" t="s">
        <v>54</v>
      </c>
      <c r="L219" t="s">
        <v>26</v>
      </c>
      <c r="M219" s="2">
        <v>44934</v>
      </c>
      <c r="N219" s="17">
        <v>699.99</v>
      </c>
      <c r="O219">
        <f t="shared" ca="1" si="12"/>
        <v>3</v>
      </c>
      <c r="P219" s="2">
        <f t="shared" si="13"/>
        <v>45716</v>
      </c>
      <c r="Q219" t="str">
        <f t="shared" si="14"/>
        <v>OK</v>
      </c>
      <c r="R219" s="18">
        <f t="shared" ca="1" si="15"/>
        <v>46310.670810300922</v>
      </c>
    </row>
    <row r="220" spans="1:18" x14ac:dyDescent="0.25">
      <c r="A220" t="s">
        <v>369</v>
      </c>
      <c r="B220" s="2">
        <v>45711</v>
      </c>
      <c r="C220" t="s">
        <v>250</v>
      </c>
      <c r="D220" t="s">
        <v>251</v>
      </c>
      <c r="E220" t="s">
        <v>84</v>
      </c>
      <c r="F220" t="s">
        <v>85</v>
      </c>
      <c r="G220" t="s">
        <v>23</v>
      </c>
      <c r="H220">
        <v>1</v>
      </c>
      <c r="I220" s="17">
        <v>699.99</v>
      </c>
      <c r="J220" t="s">
        <v>24</v>
      </c>
      <c r="K220" t="s">
        <v>44</v>
      </c>
      <c r="L220" t="s">
        <v>31</v>
      </c>
      <c r="M220" s="2">
        <v>44583</v>
      </c>
      <c r="N220" s="17">
        <v>699.99</v>
      </c>
      <c r="O220">
        <f t="shared" ca="1" si="12"/>
        <v>4</v>
      </c>
      <c r="P220" s="2">
        <f t="shared" si="13"/>
        <v>45716</v>
      </c>
      <c r="Q220" t="str">
        <f t="shared" si="14"/>
        <v>OK</v>
      </c>
      <c r="R220" s="18">
        <f t="shared" ca="1" si="15"/>
        <v>46310.670810300922</v>
      </c>
    </row>
    <row r="221" spans="1:18" x14ac:dyDescent="0.25">
      <c r="A221" t="s">
        <v>370</v>
      </c>
      <c r="B221" s="2">
        <v>45711</v>
      </c>
      <c r="C221" t="s">
        <v>329</v>
      </c>
      <c r="D221" t="s">
        <v>330</v>
      </c>
      <c r="E221" t="s">
        <v>48</v>
      </c>
      <c r="F221" t="s">
        <v>49</v>
      </c>
      <c r="G221" t="s">
        <v>50</v>
      </c>
      <c r="H221">
        <v>4</v>
      </c>
      <c r="I221" s="17">
        <v>149.99</v>
      </c>
      <c r="J221" t="s">
        <v>38</v>
      </c>
      <c r="K221" t="s">
        <v>44</v>
      </c>
      <c r="L221" t="s">
        <v>31</v>
      </c>
      <c r="M221" s="2">
        <v>44412</v>
      </c>
      <c r="N221" s="17">
        <v>599.96</v>
      </c>
      <c r="O221">
        <f t="shared" ca="1" si="12"/>
        <v>5</v>
      </c>
      <c r="P221" s="2">
        <f t="shared" si="13"/>
        <v>45716</v>
      </c>
      <c r="Q221" t="str">
        <f t="shared" si="14"/>
        <v>OK</v>
      </c>
      <c r="R221" s="18">
        <f t="shared" ca="1" si="15"/>
        <v>46310.670810300922</v>
      </c>
    </row>
    <row r="222" spans="1:18" x14ac:dyDescent="0.25">
      <c r="A222" t="s">
        <v>371</v>
      </c>
      <c r="B222" s="2">
        <v>45711</v>
      </c>
      <c r="C222" t="s">
        <v>215</v>
      </c>
      <c r="D222" t="s">
        <v>216</v>
      </c>
      <c r="E222" t="s">
        <v>121</v>
      </c>
      <c r="F222" t="s">
        <v>122</v>
      </c>
      <c r="G222" t="s">
        <v>23</v>
      </c>
      <c r="H222">
        <v>5</v>
      </c>
      <c r="I222" s="17">
        <v>89.99</v>
      </c>
      <c r="J222" t="s">
        <v>38</v>
      </c>
      <c r="K222" t="s">
        <v>54</v>
      </c>
      <c r="L222" t="s">
        <v>31</v>
      </c>
      <c r="M222" s="2">
        <v>45140</v>
      </c>
      <c r="N222" s="17">
        <v>449.95</v>
      </c>
      <c r="O222">
        <f t="shared" ca="1" si="12"/>
        <v>3</v>
      </c>
      <c r="P222" s="2">
        <f t="shared" si="13"/>
        <v>45716</v>
      </c>
      <c r="Q222" t="str">
        <f t="shared" si="14"/>
        <v>OK</v>
      </c>
      <c r="R222" s="18">
        <f t="shared" ca="1" si="15"/>
        <v>46310.670810300922</v>
      </c>
    </row>
    <row r="223" spans="1:18" x14ac:dyDescent="0.25">
      <c r="A223" t="s">
        <v>372</v>
      </c>
      <c r="B223" s="2">
        <v>45712</v>
      </c>
      <c r="C223" t="s">
        <v>142</v>
      </c>
      <c r="D223" t="s">
        <v>143</v>
      </c>
      <c r="E223" t="s">
        <v>130</v>
      </c>
      <c r="F223" t="s">
        <v>131</v>
      </c>
      <c r="G223" t="s">
        <v>50</v>
      </c>
      <c r="H223">
        <v>2</v>
      </c>
      <c r="I223" s="17">
        <v>199.99</v>
      </c>
      <c r="J223" t="s">
        <v>24</v>
      </c>
      <c r="K223" t="s">
        <v>25</v>
      </c>
      <c r="L223" t="s">
        <v>31</v>
      </c>
      <c r="M223" s="2">
        <v>44573</v>
      </c>
      <c r="N223" s="17">
        <v>399.98</v>
      </c>
      <c r="O223">
        <f t="shared" ca="1" si="12"/>
        <v>4</v>
      </c>
      <c r="P223" s="2">
        <f t="shared" si="13"/>
        <v>45716</v>
      </c>
      <c r="Q223" t="str">
        <f t="shared" si="14"/>
        <v>OK</v>
      </c>
      <c r="R223" s="18">
        <f t="shared" ca="1" si="15"/>
        <v>46310.670810300922</v>
      </c>
    </row>
    <row r="224" spans="1:18" x14ac:dyDescent="0.25">
      <c r="A224" t="s">
        <v>373</v>
      </c>
      <c r="B224" s="2">
        <v>45715</v>
      </c>
      <c r="C224" t="s">
        <v>263</v>
      </c>
      <c r="D224" t="s">
        <v>264</v>
      </c>
      <c r="E224" t="s">
        <v>35</v>
      </c>
      <c r="F224" t="s">
        <v>36</v>
      </c>
      <c r="G224" t="s">
        <v>37</v>
      </c>
      <c r="H224">
        <v>4</v>
      </c>
      <c r="I224" s="17">
        <v>59.99</v>
      </c>
      <c r="J224" t="s">
        <v>24</v>
      </c>
      <c r="K224" t="s">
        <v>54</v>
      </c>
      <c r="L224" t="s">
        <v>40</v>
      </c>
      <c r="M224" s="2">
        <v>45070</v>
      </c>
      <c r="N224" s="17">
        <v>239.96</v>
      </c>
      <c r="O224">
        <f t="shared" ca="1" si="12"/>
        <v>3</v>
      </c>
      <c r="P224" s="2">
        <f t="shared" si="13"/>
        <v>45716</v>
      </c>
      <c r="Q224" t="str">
        <f t="shared" si="14"/>
        <v>OK</v>
      </c>
      <c r="R224" s="18">
        <f t="shared" ca="1" si="15"/>
        <v>46310.670810300922</v>
      </c>
    </row>
    <row r="225" spans="1:18" x14ac:dyDescent="0.25">
      <c r="A225" t="s">
        <v>374</v>
      </c>
      <c r="B225" s="2">
        <v>45715</v>
      </c>
      <c r="C225" t="s">
        <v>97</v>
      </c>
      <c r="D225" t="s">
        <v>98</v>
      </c>
      <c r="E225" t="s">
        <v>109</v>
      </c>
      <c r="F225" t="s">
        <v>110</v>
      </c>
      <c r="G225" t="s">
        <v>50</v>
      </c>
      <c r="H225">
        <v>2</v>
      </c>
      <c r="I225" s="17">
        <v>299.99</v>
      </c>
      <c r="J225" t="s">
        <v>38</v>
      </c>
      <c r="K225" t="s">
        <v>39</v>
      </c>
      <c r="L225" t="s">
        <v>26</v>
      </c>
      <c r="M225" s="2">
        <v>44576</v>
      </c>
      <c r="N225" s="17">
        <v>599.98</v>
      </c>
      <c r="O225">
        <f t="shared" ca="1" si="12"/>
        <v>4</v>
      </c>
      <c r="P225" s="2">
        <f t="shared" si="13"/>
        <v>45716</v>
      </c>
      <c r="Q225" t="str">
        <f t="shared" si="14"/>
        <v>OK</v>
      </c>
      <c r="R225" s="18">
        <f t="shared" ca="1" si="15"/>
        <v>46310.670810300922</v>
      </c>
    </row>
    <row r="226" spans="1:18" x14ac:dyDescent="0.25">
      <c r="A226" t="s">
        <v>375</v>
      </c>
      <c r="B226" s="2">
        <v>45718</v>
      </c>
      <c r="C226" t="s">
        <v>59</v>
      </c>
      <c r="D226" t="s">
        <v>60</v>
      </c>
      <c r="E226" t="s">
        <v>48</v>
      </c>
      <c r="F226" t="s">
        <v>49</v>
      </c>
      <c r="G226" t="s">
        <v>50</v>
      </c>
      <c r="H226">
        <v>2</v>
      </c>
      <c r="I226" s="17">
        <v>149.99</v>
      </c>
      <c r="J226" t="s">
        <v>24</v>
      </c>
      <c r="K226" t="s">
        <v>25</v>
      </c>
      <c r="L226" t="s">
        <v>26</v>
      </c>
      <c r="M226" s="2">
        <v>45068</v>
      </c>
      <c r="N226" s="17">
        <v>299.98</v>
      </c>
      <c r="O226">
        <f t="shared" ca="1" si="12"/>
        <v>3</v>
      </c>
      <c r="P226" s="2">
        <f t="shared" si="13"/>
        <v>45747</v>
      </c>
      <c r="Q226" t="str">
        <f t="shared" si="14"/>
        <v>OK</v>
      </c>
      <c r="R226" s="18">
        <f t="shared" ca="1" si="15"/>
        <v>46310.670810300922</v>
      </c>
    </row>
    <row r="227" spans="1:18" x14ac:dyDescent="0.25">
      <c r="A227" t="s">
        <v>376</v>
      </c>
      <c r="B227" s="2">
        <v>45720</v>
      </c>
      <c r="C227" t="s">
        <v>230</v>
      </c>
      <c r="D227" t="s">
        <v>231</v>
      </c>
      <c r="E227" t="s">
        <v>84</v>
      </c>
      <c r="F227" t="s">
        <v>85</v>
      </c>
      <c r="G227" t="s">
        <v>23</v>
      </c>
      <c r="H227">
        <v>5</v>
      </c>
      <c r="I227" s="17">
        <v>699.99</v>
      </c>
      <c r="J227" t="s">
        <v>61</v>
      </c>
      <c r="K227" t="s">
        <v>67</v>
      </c>
      <c r="L227" t="s">
        <v>31</v>
      </c>
      <c r="M227" s="2">
        <v>45161</v>
      </c>
      <c r="N227" s="17">
        <v>3499.95</v>
      </c>
      <c r="O227">
        <f t="shared" ca="1" si="12"/>
        <v>3</v>
      </c>
      <c r="P227" s="2">
        <f t="shared" si="13"/>
        <v>45747</v>
      </c>
      <c r="Q227" t="str">
        <f t="shared" si="14"/>
        <v>OK</v>
      </c>
      <c r="R227" s="18">
        <f t="shared" ca="1" si="15"/>
        <v>46310.670810300922</v>
      </c>
    </row>
    <row r="228" spans="1:18" x14ac:dyDescent="0.25">
      <c r="A228" t="s">
        <v>377</v>
      </c>
      <c r="B228" s="2">
        <v>45721</v>
      </c>
      <c r="C228" t="s">
        <v>79</v>
      </c>
      <c r="D228" t="s">
        <v>80</v>
      </c>
      <c r="E228" t="s">
        <v>35</v>
      </c>
      <c r="F228" t="s">
        <v>36</v>
      </c>
      <c r="G228" t="s">
        <v>37</v>
      </c>
      <c r="H228">
        <v>5</v>
      </c>
      <c r="I228" s="17">
        <v>59.99</v>
      </c>
      <c r="J228" t="s">
        <v>24</v>
      </c>
      <c r="K228" t="s">
        <v>54</v>
      </c>
      <c r="L228" t="s">
        <v>31</v>
      </c>
      <c r="M228" s="2">
        <v>45291</v>
      </c>
      <c r="N228" s="17">
        <v>299.95</v>
      </c>
      <c r="O228">
        <f t="shared" ca="1" si="12"/>
        <v>2</v>
      </c>
      <c r="P228" s="2">
        <f t="shared" si="13"/>
        <v>45747</v>
      </c>
      <c r="Q228" t="str">
        <f t="shared" si="14"/>
        <v>OK</v>
      </c>
      <c r="R228" s="18">
        <f t="shared" ca="1" si="15"/>
        <v>46310.670810300922</v>
      </c>
    </row>
    <row r="229" spans="1:18" x14ac:dyDescent="0.25">
      <c r="A229" t="s">
        <v>378</v>
      </c>
      <c r="B229" s="2">
        <v>45723</v>
      </c>
      <c r="C229" t="s">
        <v>19</v>
      </c>
      <c r="D229" t="s">
        <v>20</v>
      </c>
      <c r="E229" t="s">
        <v>121</v>
      </c>
      <c r="F229" t="s">
        <v>122</v>
      </c>
      <c r="G229" t="s">
        <v>23</v>
      </c>
      <c r="H229">
        <v>2</v>
      </c>
      <c r="I229" s="17">
        <v>89.99</v>
      </c>
      <c r="J229" t="s">
        <v>30</v>
      </c>
      <c r="K229" t="s">
        <v>54</v>
      </c>
      <c r="L229" t="s">
        <v>31</v>
      </c>
      <c r="M229" s="2">
        <v>45295</v>
      </c>
      <c r="N229" s="17">
        <v>179.98</v>
      </c>
      <c r="O229">
        <f t="shared" ca="1" si="12"/>
        <v>2</v>
      </c>
      <c r="P229" s="2">
        <f t="shared" si="13"/>
        <v>45747</v>
      </c>
      <c r="Q229" t="str">
        <f t="shared" si="14"/>
        <v>OK</v>
      </c>
      <c r="R229" s="18">
        <f t="shared" ca="1" si="15"/>
        <v>46310.670810300922</v>
      </c>
    </row>
    <row r="230" spans="1:18" x14ac:dyDescent="0.25">
      <c r="A230" t="s">
        <v>379</v>
      </c>
      <c r="B230" s="2">
        <v>45723</v>
      </c>
      <c r="C230" t="s">
        <v>124</v>
      </c>
      <c r="D230" t="s">
        <v>125</v>
      </c>
      <c r="E230" t="s">
        <v>21</v>
      </c>
      <c r="F230" t="s">
        <v>22</v>
      </c>
      <c r="G230" t="s">
        <v>23</v>
      </c>
      <c r="H230">
        <v>5</v>
      </c>
      <c r="I230" s="17">
        <v>249.99</v>
      </c>
      <c r="J230" t="s">
        <v>24</v>
      </c>
      <c r="K230" t="s">
        <v>67</v>
      </c>
      <c r="L230" t="s">
        <v>40</v>
      </c>
      <c r="M230" s="2">
        <v>44540</v>
      </c>
      <c r="N230" s="17">
        <v>1249.95</v>
      </c>
      <c r="O230">
        <f t="shared" ca="1" si="12"/>
        <v>4</v>
      </c>
      <c r="P230" s="2">
        <f t="shared" si="13"/>
        <v>45747</v>
      </c>
      <c r="Q230" t="str">
        <f t="shared" si="14"/>
        <v>OK</v>
      </c>
      <c r="R230" s="18">
        <f t="shared" ca="1" si="15"/>
        <v>46310.670810300922</v>
      </c>
    </row>
    <row r="231" spans="1:18" x14ac:dyDescent="0.25">
      <c r="A231" t="s">
        <v>380</v>
      </c>
      <c r="B231" s="2">
        <v>45724</v>
      </c>
      <c r="C231" t="s">
        <v>230</v>
      </c>
      <c r="D231" t="s">
        <v>231</v>
      </c>
      <c r="E231" t="s">
        <v>48</v>
      </c>
      <c r="F231" t="s">
        <v>49</v>
      </c>
      <c r="G231" t="s">
        <v>50</v>
      </c>
      <c r="H231">
        <v>2</v>
      </c>
      <c r="I231" s="17">
        <v>149.99</v>
      </c>
      <c r="J231" t="s">
        <v>38</v>
      </c>
      <c r="K231" t="s">
        <v>25</v>
      </c>
      <c r="L231" t="s">
        <v>31</v>
      </c>
      <c r="M231" s="2">
        <v>44632</v>
      </c>
      <c r="N231" s="17">
        <v>299.98</v>
      </c>
      <c r="O231">
        <f t="shared" ca="1" si="12"/>
        <v>4</v>
      </c>
      <c r="P231" s="2">
        <f t="shared" si="13"/>
        <v>45747</v>
      </c>
      <c r="Q231" t="str">
        <f t="shared" si="14"/>
        <v>OK</v>
      </c>
      <c r="R231" s="18">
        <f t="shared" ca="1" si="15"/>
        <v>46310.670810300922</v>
      </c>
    </row>
    <row r="232" spans="1:18" x14ac:dyDescent="0.25">
      <c r="A232" t="s">
        <v>381</v>
      </c>
      <c r="B232" s="2">
        <v>45724</v>
      </c>
      <c r="C232" t="s">
        <v>148</v>
      </c>
      <c r="D232" t="s">
        <v>149</v>
      </c>
      <c r="E232" t="s">
        <v>65</v>
      </c>
      <c r="F232" t="s">
        <v>66</v>
      </c>
      <c r="G232" t="s">
        <v>23</v>
      </c>
      <c r="H232">
        <v>5</v>
      </c>
      <c r="I232" s="17">
        <v>899.99</v>
      </c>
      <c r="J232" t="s">
        <v>38</v>
      </c>
      <c r="K232" t="s">
        <v>67</v>
      </c>
      <c r="L232" t="s">
        <v>31</v>
      </c>
      <c r="M232" s="2">
        <v>45389</v>
      </c>
      <c r="N232" s="17">
        <v>4499.95</v>
      </c>
      <c r="O232">
        <f t="shared" ca="1" si="12"/>
        <v>2</v>
      </c>
      <c r="P232" s="2">
        <f t="shared" si="13"/>
        <v>45747</v>
      </c>
      <c r="Q232" t="str">
        <f t="shared" si="14"/>
        <v>OK</v>
      </c>
      <c r="R232" s="18">
        <f t="shared" ca="1" si="15"/>
        <v>46310.670810300922</v>
      </c>
    </row>
    <row r="233" spans="1:18" x14ac:dyDescent="0.25">
      <c r="A233" t="s">
        <v>382</v>
      </c>
      <c r="B233" s="2">
        <v>45724</v>
      </c>
      <c r="C233" t="s">
        <v>59</v>
      </c>
      <c r="D233" t="s">
        <v>60</v>
      </c>
      <c r="E233" t="s">
        <v>48</v>
      </c>
      <c r="F233" t="s">
        <v>49</v>
      </c>
      <c r="G233" t="s">
        <v>50</v>
      </c>
      <c r="H233">
        <v>4</v>
      </c>
      <c r="I233" s="17">
        <v>149.99</v>
      </c>
      <c r="J233" t="s">
        <v>24</v>
      </c>
      <c r="K233" t="s">
        <v>25</v>
      </c>
      <c r="L233" t="s">
        <v>40</v>
      </c>
      <c r="M233" s="2">
        <v>45263</v>
      </c>
      <c r="N233" s="17">
        <v>599.96</v>
      </c>
      <c r="O233">
        <f t="shared" ca="1" si="12"/>
        <v>2</v>
      </c>
      <c r="P233" s="2">
        <f t="shared" si="13"/>
        <v>45747</v>
      </c>
      <c r="Q233" t="str">
        <f t="shared" si="14"/>
        <v>OK</v>
      </c>
      <c r="R233" s="18">
        <f t="shared" ca="1" si="15"/>
        <v>46310.670810300922</v>
      </c>
    </row>
    <row r="234" spans="1:18" x14ac:dyDescent="0.25">
      <c r="A234" t="s">
        <v>383</v>
      </c>
      <c r="B234" s="2">
        <v>45726</v>
      </c>
      <c r="C234" t="s">
        <v>148</v>
      </c>
      <c r="D234" t="s">
        <v>149</v>
      </c>
      <c r="E234" t="s">
        <v>21</v>
      </c>
      <c r="F234" t="s">
        <v>22</v>
      </c>
      <c r="G234" t="s">
        <v>23</v>
      </c>
      <c r="H234">
        <v>1</v>
      </c>
      <c r="I234" s="17">
        <v>249.99</v>
      </c>
      <c r="J234" t="s">
        <v>24</v>
      </c>
      <c r="K234" t="s">
        <v>44</v>
      </c>
      <c r="L234" t="s">
        <v>40</v>
      </c>
      <c r="M234" s="2">
        <v>45117</v>
      </c>
      <c r="N234" s="17">
        <v>249.99</v>
      </c>
      <c r="O234">
        <f t="shared" ca="1" si="12"/>
        <v>3</v>
      </c>
      <c r="P234" s="2">
        <f t="shared" si="13"/>
        <v>45747</v>
      </c>
      <c r="Q234" t="str">
        <f t="shared" si="14"/>
        <v>OK</v>
      </c>
      <c r="R234" s="18">
        <f t="shared" ca="1" si="15"/>
        <v>46310.670810300922</v>
      </c>
    </row>
    <row r="235" spans="1:18" x14ac:dyDescent="0.25">
      <c r="A235" t="s">
        <v>384</v>
      </c>
      <c r="B235" s="2">
        <v>45734</v>
      </c>
      <c r="C235" t="s">
        <v>196</v>
      </c>
      <c r="D235" t="s">
        <v>197</v>
      </c>
      <c r="E235" t="s">
        <v>35</v>
      </c>
      <c r="F235" t="s">
        <v>36</v>
      </c>
      <c r="G235" t="s">
        <v>37</v>
      </c>
      <c r="H235">
        <v>2</v>
      </c>
      <c r="I235" s="17">
        <v>59.99</v>
      </c>
      <c r="J235" t="s">
        <v>30</v>
      </c>
      <c r="K235" t="s">
        <v>54</v>
      </c>
      <c r="L235" t="s">
        <v>26</v>
      </c>
      <c r="M235" s="2">
        <v>45193</v>
      </c>
      <c r="N235" s="17">
        <v>119.98</v>
      </c>
      <c r="O235">
        <f t="shared" ca="1" si="12"/>
        <v>3</v>
      </c>
      <c r="P235" s="2">
        <f t="shared" si="13"/>
        <v>45747</v>
      </c>
      <c r="Q235" t="str">
        <f t="shared" si="14"/>
        <v>OK</v>
      </c>
      <c r="R235" s="18">
        <f t="shared" ca="1" si="15"/>
        <v>46310.670810300922</v>
      </c>
    </row>
    <row r="236" spans="1:18" x14ac:dyDescent="0.25">
      <c r="A236" t="s">
        <v>385</v>
      </c>
      <c r="B236" s="2">
        <v>45737</v>
      </c>
      <c r="C236" t="s">
        <v>136</v>
      </c>
      <c r="D236" t="s">
        <v>137</v>
      </c>
      <c r="E236" t="s">
        <v>48</v>
      </c>
      <c r="F236" t="s">
        <v>49</v>
      </c>
      <c r="G236" t="s">
        <v>50</v>
      </c>
      <c r="H236">
        <v>2</v>
      </c>
      <c r="I236" s="17">
        <v>149.99</v>
      </c>
      <c r="J236" t="s">
        <v>24</v>
      </c>
      <c r="K236" t="s">
        <v>54</v>
      </c>
      <c r="L236" t="s">
        <v>31</v>
      </c>
      <c r="M236" s="2">
        <v>45233</v>
      </c>
      <c r="N236" s="17">
        <v>299.98</v>
      </c>
      <c r="O236">
        <f t="shared" ca="1" si="12"/>
        <v>2</v>
      </c>
      <c r="P236" s="2">
        <f t="shared" si="13"/>
        <v>45747</v>
      </c>
      <c r="Q236" t="str">
        <f t="shared" si="14"/>
        <v>OK</v>
      </c>
      <c r="R236" s="18">
        <f t="shared" ca="1" si="15"/>
        <v>46310.670810300922</v>
      </c>
    </row>
    <row r="237" spans="1:18" x14ac:dyDescent="0.25">
      <c r="A237" t="s">
        <v>386</v>
      </c>
      <c r="B237" s="2">
        <v>45737</v>
      </c>
      <c r="C237" t="s">
        <v>154</v>
      </c>
      <c r="D237" t="s">
        <v>155</v>
      </c>
      <c r="E237" t="s">
        <v>65</v>
      </c>
      <c r="F237" t="s">
        <v>66</v>
      </c>
      <c r="G237" t="s">
        <v>23</v>
      </c>
      <c r="H237">
        <v>3</v>
      </c>
      <c r="I237" s="17">
        <v>899.99</v>
      </c>
      <c r="J237" t="s">
        <v>61</v>
      </c>
      <c r="K237" t="s">
        <v>44</v>
      </c>
      <c r="L237" t="s">
        <v>31</v>
      </c>
      <c r="M237" s="2">
        <v>44876</v>
      </c>
      <c r="N237" s="17">
        <v>2699.97</v>
      </c>
      <c r="O237">
        <f t="shared" ca="1" si="12"/>
        <v>3</v>
      </c>
      <c r="P237" s="2">
        <f t="shared" si="13"/>
        <v>45747</v>
      </c>
      <c r="Q237" t="str">
        <f t="shared" si="14"/>
        <v>OK</v>
      </c>
      <c r="R237" s="18">
        <f t="shared" ca="1" si="15"/>
        <v>46310.670810300922</v>
      </c>
    </row>
    <row r="238" spans="1:18" x14ac:dyDescent="0.25">
      <c r="A238" t="s">
        <v>387</v>
      </c>
      <c r="B238" s="2">
        <v>45737</v>
      </c>
      <c r="C238" t="s">
        <v>52</v>
      </c>
      <c r="D238" t="s">
        <v>53</v>
      </c>
      <c r="E238" t="s">
        <v>65</v>
      </c>
      <c r="F238" t="s">
        <v>66</v>
      </c>
      <c r="G238" t="s">
        <v>23</v>
      </c>
      <c r="H238">
        <v>3</v>
      </c>
      <c r="I238" s="17">
        <v>899.99</v>
      </c>
      <c r="J238" t="s">
        <v>38</v>
      </c>
      <c r="K238" t="s">
        <v>44</v>
      </c>
      <c r="L238" t="s">
        <v>26</v>
      </c>
      <c r="M238" s="2">
        <v>44975</v>
      </c>
      <c r="N238" s="17">
        <v>2699.97</v>
      </c>
      <c r="O238">
        <f t="shared" ca="1" si="12"/>
        <v>3</v>
      </c>
      <c r="P238" s="2">
        <f t="shared" si="13"/>
        <v>45747</v>
      </c>
      <c r="Q238" t="str">
        <f t="shared" si="14"/>
        <v>OK</v>
      </c>
      <c r="R238" s="18">
        <f t="shared" ca="1" si="15"/>
        <v>46310.670810300922</v>
      </c>
    </row>
    <row r="239" spans="1:18" x14ac:dyDescent="0.25">
      <c r="A239" t="s">
        <v>388</v>
      </c>
      <c r="B239" s="2">
        <v>45739</v>
      </c>
      <c r="C239" t="s">
        <v>19</v>
      </c>
      <c r="D239" t="s">
        <v>20</v>
      </c>
      <c r="E239" t="s">
        <v>109</v>
      </c>
      <c r="F239" t="s">
        <v>110</v>
      </c>
      <c r="G239" t="s">
        <v>50</v>
      </c>
      <c r="H239">
        <v>3</v>
      </c>
      <c r="I239" s="17">
        <v>299.99</v>
      </c>
      <c r="J239" t="s">
        <v>30</v>
      </c>
      <c r="K239" t="s">
        <v>54</v>
      </c>
      <c r="L239" t="s">
        <v>31</v>
      </c>
      <c r="M239" s="2">
        <v>45234</v>
      </c>
      <c r="N239" s="17">
        <v>899.97</v>
      </c>
      <c r="O239">
        <f t="shared" ca="1" si="12"/>
        <v>2</v>
      </c>
      <c r="P239" s="2">
        <f t="shared" si="13"/>
        <v>45747</v>
      </c>
      <c r="Q239" t="str">
        <f t="shared" si="14"/>
        <v>OK</v>
      </c>
      <c r="R239" s="18">
        <f t="shared" ca="1" si="15"/>
        <v>46310.670810300922</v>
      </c>
    </row>
    <row r="240" spans="1:18" x14ac:dyDescent="0.25">
      <c r="A240" t="s">
        <v>389</v>
      </c>
      <c r="B240" s="2">
        <v>45740</v>
      </c>
      <c r="C240" t="s">
        <v>390</v>
      </c>
      <c r="D240" t="s">
        <v>391</v>
      </c>
      <c r="E240" t="s">
        <v>48</v>
      </c>
      <c r="F240" t="s">
        <v>49</v>
      </c>
      <c r="G240" t="s">
        <v>50</v>
      </c>
      <c r="H240">
        <v>4</v>
      </c>
      <c r="I240" s="17">
        <v>149.99</v>
      </c>
      <c r="J240" t="s">
        <v>38</v>
      </c>
      <c r="K240" t="s">
        <v>54</v>
      </c>
      <c r="L240" t="s">
        <v>40</v>
      </c>
      <c r="M240" s="2">
        <v>44560</v>
      </c>
      <c r="N240" s="17">
        <v>599.96</v>
      </c>
      <c r="O240">
        <f t="shared" ca="1" si="12"/>
        <v>4</v>
      </c>
      <c r="P240" s="2">
        <f t="shared" si="13"/>
        <v>45747</v>
      </c>
      <c r="Q240" t="str">
        <f t="shared" si="14"/>
        <v>OK</v>
      </c>
      <c r="R240" s="18">
        <f t="shared" ca="1" si="15"/>
        <v>46310.670810300922</v>
      </c>
    </row>
    <row r="241" spans="1:18" x14ac:dyDescent="0.25">
      <c r="A241" t="s">
        <v>392</v>
      </c>
      <c r="B241" s="2">
        <v>45743</v>
      </c>
      <c r="C241" t="s">
        <v>106</v>
      </c>
      <c r="D241" t="s">
        <v>107</v>
      </c>
      <c r="E241" t="s">
        <v>118</v>
      </c>
      <c r="F241" t="s">
        <v>119</v>
      </c>
      <c r="G241" t="s">
        <v>37</v>
      </c>
      <c r="H241">
        <v>4</v>
      </c>
      <c r="I241" s="17">
        <v>79.989999999999995</v>
      </c>
      <c r="J241" t="s">
        <v>30</v>
      </c>
      <c r="K241" t="s">
        <v>25</v>
      </c>
      <c r="L241" t="s">
        <v>26</v>
      </c>
      <c r="M241" s="2">
        <v>45288</v>
      </c>
      <c r="N241" s="17">
        <v>319.95999999999998</v>
      </c>
      <c r="O241">
        <f t="shared" ca="1" si="12"/>
        <v>2</v>
      </c>
      <c r="P241" s="2">
        <f t="shared" si="13"/>
        <v>45747</v>
      </c>
      <c r="Q241" t="str">
        <f t="shared" si="14"/>
        <v>OK</v>
      </c>
      <c r="R241" s="18">
        <f t="shared" ca="1" si="15"/>
        <v>46310.670810300922</v>
      </c>
    </row>
    <row r="242" spans="1:18" x14ac:dyDescent="0.25">
      <c r="A242" t="s">
        <v>393</v>
      </c>
      <c r="B242" s="2">
        <v>45745</v>
      </c>
      <c r="C242" t="s">
        <v>189</v>
      </c>
      <c r="D242" t="s">
        <v>190</v>
      </c>
      <c r="E242" t="s">
        <v>121</v>
      </c>
      <c r="F242" t="s">
        <v>122</v>
      </c>
      <c r="G242" t="s">
        <v>23</v>
      </c>
      <c r="H242">
        <v>5</v>
      </c>
      <c r="I242" s="17">
        <v>89.99</v>
      </c>
      <c r="J242" t="s">
        <v>38</v>
      </c>
      <c r="K242" t="s">
        <v>39</v>
      </c>
      <c r="L242" t="s">
        <v>26</v>
      </c>
      <c r="M242" s="2">
        <v>44704</v>
      </c>
      <c r="N242" s="17">
        <v>449.95</v>
      </c>
      <c r="O242">
        <f t="shared" ca="1" si="12"/>
        <v>4</v>
      </c>
      <c r="P242" s="2">
        <f t="shared" si="13"/>
        <v>45747</v>
      </c>
      <c r="Q242" t="str">
        <f t="shared" si="14"/>
        <v>OK</v>
      </c>
      <c r="R242" s="18">
        <f t="shared" ca="1" si="15"/>
        <v>46310.670810300922</v>
      </c>
    </row>
    <row r="243" spans="1:18" x14ac:dyDescent="0.25">
      <c r="A243" t="s">
        <v>394</v>
      </c>
      <c r="B243" s="2">
        <v>45746</v>
      </c>
      <c r="C243" t="s">
        <v>97</v>
      </c>
      <c r="D243" t="s">
        <v>98</v>
      </c>
      <c r="E243" t="s">
        <v>48</v>
      </c>
      <c r="F243" t="s">
        <v>49</v>
      </c>
      <c r="G243" t="s">
        <v>50</v>
      </c>
      <c r="H243">
        <v>3</v>
      </c>
      <c r="I243" s="17">
        <v>149.99</v>
      </c>
      <c r="J243" t="s">
        <v>38</v>
      </c>
      <c r="K243" t="s">
        <v>25</v>
      </c>
      <c r="L243" t="s">
        <v>40</v>
      </c>
      <c r="M243" s="2">
        <v>45171</v>
      </c>
      <c r="N243" s="17">
        <v>449.97</v>
      </c>
      <c r="O243">
        <f t="shared" ca="1" si="12"/>
        <v>3</v>
      </c>
      <c r="P243" s="2">
        <f t="shared" si="13"/>
        <v>45747</v>
      </c>
      <c r="Q243" t="str">
        <f t="shared" si="14"/>
        <v>OK</v>
      </c>
      <c r="R243" s="18">
        <f t="shared" ca="1" si="15"/>
        <v>46310.670810300922</v>
      </c>
    </row>
    <row r="244" spans="1:18" x14ac:dyDescent="0.25">
      <c r="A244" t="s">
        <v>395</v>
      </c>
      <c r="B244" s="2">
        <v>45746</v>
      </c>
      <c r="C244" t="s">
        <v>69</v>
      </c>
      <c r="D244" t="s">
        <v>70</v>
      </c>
      <c r="E244" t="s">
        <v>121</v>
      </c>
      <c r="F244" t="s">
        <v>122</v>
      </c>
      <c r="G244" t="s">
        <v>23</v>
      </c>
      <c r="H244">
        <v>2</v>
      </c>
      <c r="I244" s="17">
        <v>89.99</v>
      </c>
      <c r="J244" t="s">
        <v>61</v>
      </c>
      <c r="K244" t="s">
        <v>54</v>
      </c>
      <c r="L244" t="s">
        <v>31</v>
      </c>
      <c r="M244" s="2">
        <v>44522</v>
      </c>
      <c r="N244" s="17">
        <v>179.98</v>
      </c>
      <c r="O244">
        <f t="shared" ca="1" si="12"/>
        <v>4</v>
      </c>
      <c r="P244" s="2">
        <f t="shared" si="13"/>
        <v>45747</v>
      </c>
      <c r="Q244" t="str">
        <f t="shared" si="14"/>
        <v>OK</v>
      </c>
      <c r="R244" s="18">
        <f t="shared" ca="1" si="15"/>
        <v>46310.670810300922</v>
      </c>
    </row>
    <row r="245" spans="1:18" x14ac:dyDescent="0.25">
      <c r="A245" t="s">
        <v>396</v>
      </c>
      <c r="B245" s="2">
        <v>45748</v>
      </c>
      <c r="C245" t="s">
        <v>106</v>
      </c>
      <c r="D245" t="s">
        <v>107</v>
      </c>
      <c r="E245" t="s">
        <v>84</v>
      </c>
      <c r="F245" t="s">
        <v>85</v>
      </c>
      <c r="G245" t="s">
        <v>23</v>
      </c>
      <c r="H245">
        <v>2</v>
      </c>
      <c r="I245" s="17">
        <v>699.99</v>
      </c>
      <c r="J245" t="s">
        <v>38</v>
      </c>
      <c r="K245" t="s">
        <v>44</v>
      </c>
      <c r="L245" t="s">
        <v>40</v>
      </c>
      <c r="M245" s="2">
        <v>44618</v>
      </c>
      <c r="N245" s="17">
        <v>1399.98</v>
      </c>
      <c r="O245">
        <f t="shared" ca="1" si="12"/>
        <v>4</v>
      </c>
      <c r="P245" s="2">
        <f t="shared" si="13"/>
        <v>45777</v>
      </c>
      <c r="Q245" t="str">
        <f t="shared" si="14"/>
        <v>OK</v>
      </c>
      <c r="R245" s="18">
        <f t="shared" ca="1" si="15"/>
        <v>46310.670810300922</v>
      </c>
    </row>
    <row r="246" spans="1:18" x14ac:dyDescent="0.25">
      <c r="A246" t="s">
        <v>397</v>
      </c>
      <c r="B246" s="2">
        <v>45749</v>
      </c>
      <c r="C246" t="s">
        <v>127</v>
      </c>
      <c r="D246" t="s">
        <v>128</v>
      </c>
      <c r="E246" t="s">
        <v>65</v>
      </c>
      <c r="F246" t="s">
        <v>66</v>
      </c>
      <c r="G246" t="s">
        <v>23</v>
      </c>
      <c r="H246">
        <v>3</v>
      </c>
      <c r="I246" s="17">
        <v>899.99</v>
      </c>
      <c r="J246" t="s">
        <v>24</v>
      </c>
      <c r="K246" t="s">
        <v>25</v>
      </c>
      <c r="L246" t="s">
        <v>40</v>
      </c>
      <c r="M246" s="2">
        <v>44953</v>
      </c>
      <c r="N246" s="17">
        <v>2699.97</v>
      </c>
      <c r="O246">
        <f t="shared" ca="1" si="12"/>
        <v>3</v>
      </c>
      <c r="P246" s="2">
        <f t="shared" si="13"/>
        <v>45777</v>
      </c>
      <c r="Q246" t="str">
        <f t="shared" si="14"/>
        <v>OK</v>
      </c>
      <c r="R246" s="18">
        <f t="shared" ca="1" si="15"/>
        <v>46310.670810300922</v>
      </c>
    </row>
    <row r="247" spans="1:18" x14ac:dyDescent="0.25">
      <c r="A247" t="s">
        <v>398</v>
      </c>
      <c r="B247" s="2">
        <v>45755</v>
      </c>
      <c r="C247" t="s">
        <v>97</v>
      </c>
      <c r="D247" t="s">
        <v>98</v>
      </c>
      <c r="E247" t="s">
        <v>118</v>
      </c>
      <c r="F247" t="s">
        <v>119</v>
      </c>
      <c r="G247" t="s">
        <v>37</v>
      </c>
      <c r="H247">
        <v>3</v>
      </c>
      <c r="I247" s="17">
        <v>79.989999999999995</v>
      </c>
      <c r="J247" t="s">
        <v>30</v>
      </c>
      <c r="K247" t="s">
        <v>44</v>
      </c>
      <c r="L247" t="s">
        <v>26</v>
      </c>
      <c r="M247" s="2">
        <v>44511</v>
      </c>
      <c r="N247" s="17">
        <v>239.97</v>
      </c>
      <c r="O247">
        <f t="shared" ca="1" si="12"/>
        <v>4</v>
      </c>
      <c r="P247" s="2">
        <f t="shared" si="13"/>
        <v>45777</v>
      </c>
      <c r="Q247" t="str">
        <f t="shared" si="14"/>
        <v>OK</v>
      </c>
      <c r="R247" s="18">
        <f t="shared" ca="1" si="15"/>
        <v>46310.670810300922</v>
      </c>
    </row>
    <row r="248" spans="1:18" x14ac:dyDescent="0.25">
      <c r="A248" t="s">
        <v>399</v>
      </c>
      <c r="B248" s="2">
        <v>45756</v>
      </c>
      <c r="C248" t="s">
        <v>63</v>
      </c>
      <c r="D248" t="s">
        <v>64</v>
      </c>
      <c r="E248" t="s">
        <v>121</v>
      </c>
      <c r="F248" t="s">
        <v>122</v>
      </c>
      <c r="G248" t="s">
        <v>23</v>
      </c>
      <c r="H248">
        <v>1</v>
      </c>
      <c r="I248" s="17">
        <v>89.99</v>
      </c>
      <c r="J248" t="s">
        <v>61</v>
      </c>
      <c r="K248" t="s">
        <v>67</v>
      </c>
      <c r="L248" t="s">
        <v>26</v>
      </c>
      <c r="M248" s="2">
        <v>45346</v>
      </c>
      <c r="N248" s="17">
        <v>89.99</v>
      </c>
      <c r="O248">
        <f t="shared" ca="1" si="12"/>
        <v>2</v>
      </c>
      <c r="P248" s="2">
        <f t="shared" si="13"/>
        <v>45777</v>
      </c>
      <c r="Q248" t="str">
        <f t="shared" si="14"/>
        <v>OK</v>
      </c>
      <c r="R248" s="18">
        <f t="shared" ca="1" si="15"/>
        <v>46310.670810300922</v>
      </c>
    </row>
    <row r="249" spans="1:18" x14ac:dyDescent="0.25">
      <c r="A249" t="s">
        <v>400</v>
      </c>
      <c r="B249" s="2">
        <v>45758</v>
      </c>
      <c r="C249" t="s">
        <v>297</v>
      </c>
      <c r="D249" t="s">
        <v>298</v>
      </c>
      <c r="E249" t="s">
        <v>84</v>
      </c>
      <c r="F249" t="s">
        <v>85</v>
      </c>
      <c r="G249" t="s">
        <v>23</v>
      </c>
      <c r="H249">
        <v>3</v>
      </c>
      <c r="I249" s="17">
        <v>699.99</v>
      </c>
      <c r="J249" t="s">
        <v>38</v>
      </c>
      <c r="K249" t="s">
        <v>44</v>
      </c>
      <c r="L249" t="s">
        <v>26</v>
      </c>
      <c r="M249" s="2">
        <v>44909</v>
      </c>
      <c r="N249" s="17">
        <v>2099.9699999999998</v>
      </c>
      <c r="O249">
        <f t="shared" ca="1" si="12"/>
        <v>3</v>
      </c>
      <c r="P249" s="2">
        <f t="shared" si="13"/>
        <v>45777</v>
      </c>
      <c r="Q249" t="str">
        <f t="shared" si="14"/>
        <v>OK</v>
      </c>
      <c r="R249" s="18">
        <f t="shared" ca="1" si="15"/>
        <v>46310.670810300922</v>
      </c>
    </row>
    <row r="250" spans="1:18" x14ac:dyDescent="0.25">
      <c r="A250" t="s">
        <v>401</v>
      </c>
      <c r="B250" s="2">
        <v>45758</v>
      </c>
      <c r="C250" t="s">
        <v>230</v>
      </c>
      <c r="D250" t="s">
        <v>231</v>
      </c>
      <c r="E250" t="s">
        <v>121</v>
      </c>
      <c r="F250" t="s">
        <v>122</v>
      </c>
      <c r="G250" t="s">
        <v>23</v>
      </c>
      <c r="H250">
        <v>2</v>
      </c>
      <c r="I250" s="17">
        <v>89.99</v>
      </c>
      <c r="J250" t="s">
        <v>61</v>
      </c>
      <c r="K250" t="s">
        <v>67</v>
      </c>
      <c r="L250" t="s">
        <v>26</v>
      </c>
      <c r="M250" s="2">
        <v>45088</v>
      </c>
      <c r="N250" s="17">
        <v>179.98</v>
      </c>
      <c r="O250">
        <f t="shared" ca="1" si="12"/>
        <v>3</v>
      </c>
      <c r="P250" s="2">
        <f t="shared" si="13"/>
        <v>45777</v>
      </c>
      <c r="Q250" t="str">
        <f t="shared" si="14"/>
        <v>OK</v>
      </c>
      <c r="R250" s="18">
        <f t="shared" ca="1" si="15"/>
        <v>46310.670810300922</v>
      </c>
    </row>
    <row r="251" spans="1:18" x14ac:dyDescent="0.25">
      <c r="A251" t="s">
        <v>402</v>
      </c>
      <c r="B251" s="2">
        <v>45758</v>
      </c>
      <c r="C251" t="s">
        <v>142</v>
      </c>
      <c r="D251" t="s">
        <v>143</v>
      </c>
      <c r="E251" t="s">
        <v>121</v>
      </c>
      <c r="F251" t="s">
        <v>122</v>
      </c>
      <c r="G251" t="s">
        <v>23</v>
      </c>
      <c r="H251">
        <v>3</v>
      </c>
      <c r="I251" s="17">
        <v>89.99</v>
      </c>
      <c r="J251" t="s">
        <v>61</v>
      </c>
      <c r="K251" t="s">
        <v>44</v>
      </c>
      <c r="L251" t="s">
        <v>31</v>
      </c>
      <c r="M251" s="2">
        <v>44878</v>
      </c>
      <c r="N251" s="17">
        <v>269.97000000000003</v>
      </c>
      <c r="O251">
        <f t="shared" ca="1" si="12"/>
        <v>3</v>
      </c>
      <c r="P251" s="2">
        <f t="shared" si="13"/>
        <v>45777</v>
      </c>
      <c r="Q251" t="str">
        <f t="shared" si="14"/>
        <v>OK</v>
      </c>
      <c r="R251" s="18">
        <f t="shared" ca="1" si="15"/>
        <v>46310.670810300922</v>
      </c>
    </row>
  </sheetData>
  <autoFilter ref="A1:R251" xr:uid="{00000000-0009-0000-0000-000000000000}"/>
  <conditionalFormatting sqref="H2:H251">
    <cfRule type="dataBar" priority="1">
      <dataBar>
        <cfvo type="num" val="0"/>
        <cfvo type="max"/>
        <color rgb="FF5B9BD5"/>
      </dataBar>
    </cfRule>
  </conditionalFormatting>
  <pageMargins left="0.25" right="0.2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52"/>
  <sheetViews>
    <sheetView showGridLines="0" tabSelected="1" topLeftCell="D1" workbookViewId="0">
      <pane ySplit="2" topLeftCell="A3" activePane="bottomLeft" state="frozen"/>
      <selection pane="bottomLeft" activeCell="O17" sqref="O17"/>
    </sheetView>
  </sheetViews>
  <sheetFormatPr defaultRowHeight="15" x14ac:dyDescent="0.25"/>
  <cols>
    <col min="1" max="1" width="38" style="16" customWidth="1"/>
    <col min="2" max="2" width="20" style="16" customWidth="1"/>
    <col min="3" max="3" width="22" style="16" customWidth="1"/>
    <col min="4" max="4" width="28" style="16" customWidth="1"/>
    <col min="5" max="7" width="20" style="16" customWidth="1"/>
    <col min="8" max="8" width="16" style="16" customWidth="1"/>
    <col min="10" max="12" width="13" style="16" customWidth="1"/>
    <col min="13" max="13" width="15" style="16" customWidth="1"/>
    <col min="14" max="18" width="13" style="16" customWidth="1"/>
    <col min="19" max="19" width="15" style="16" customWidth="1"/>
    <col min="20" max="20" width="13" style="16" customWidth="1"/>
    <col min="21" max="21" width="14" style="16" customWidth="1"/>
  </cols>
  <sheetData>
    <row r="1" spans="1:21" ht="19.5" customHeight="1" x14ac:dyDescent="0.3">
      <c r="A1" s="40" t="s">
        <v>403</v>
      </c>
      <c r="B1" s="37"/>
      <c r="C1" s="37"/>
      <c r="D1" s="37"/>
      <c r="E1" s="37"/>
      <c r="F1" s="37"/>
      <c r="G1" s="37"/>
      <c r="H1" s="37"/>
    </row>
    <row r="3" spans="1:21" ht="23.1" customHeight="1" x14ac:dyDescent="0.25">
      <c r="A3" s="3" t="s">
        <v>404</v>
      </c>
      <c r="B3" s="3" t="s">
        <v>405</v>
      </c>
      <c r="J3" s="45" t="s">
        <v>479</v>
      </c>
      <c r="K3" s="37"/>
      <c r="L3" s="37"/>
      <c r="M3" s="37"/>
      <c r="N3" s="37"/>
    </row>
    <row r="4" spans="1:21" x14ac:dyDescent="0.25">
      <c r="A4" t="s">
        <v>406</v>
      </c>
      <c r="B4" s="19">
        <f>SUM('Raw Data'!N2:N251)</f>
        <v>229192.47000000032</v>
      </c>
      <c r="J4" s="29" t="s">
        <v>10</v>
      </c>
      <c r="K4" s="29" t="s">
        <v>36</v>
      </c>
      <c r="L4" s="29" t="s">
        <v>49</v>
      </c>
      <c r="M4" s="29" t="s">
        <v>119</v>
      </c>
      <c r="N4" s="29" t="s">
        <v>110</v>
      </c>
      <c r="O4" s="29" t="s">
        <v>57</v>
      </c>
      <c r="P4" s="29" t="s">
        <v>122</v>
      </c>
      <c r="Q4" s="29" t="s">
        <v>66</v>
      </c>
      <c r="R4" s="29" t="s">
        <v>22</v>
      </c>
      <c r="S4" s="29" t="s">
        <v>131</v>
      </c>
      <c r="T4" s="29" t="s">
        <v>85</v>
      </c>
      <c r="U4" s="29" t="s">
        <v>407</v>
      </c>
    </row>
    <row r="5" spans="1:21" x14ac:dyDescent="0.25">
      <c r="A5" t="s">
        <v>408</v>
      </c>
      <c r="B5" s="4">
        <f>COUNTA('Raw Data'!A2:A251)</f>
        <v>250</v>
      </c>
      <c r="J5" s="30" t="s">
        <v>25</v>
      </c>
      <c r="K5" s="31">
        <f>SUMIFS('Raw Data'!$N$2:$N$251,'Raw Data'!$K$2:$K$251,$J5,'Raw Data'!$F$2:$F$251,K$4)</f>
        <v>959.83999999999992</v>
      </c>
      <c r="L5" s="31">
        <f>SUMIFS('Raw Data'!$N$2:$N$251,'Raw Data'!$K$2:$K$251,$J5,'Raw Data'!$F$2:$F$251,L$4)</f>
        <v>4799.68</v>
      </c>
      <c r="M5" s="31">
        <f>SUMIFS('Raw Data'!$N$2:$N$251,'Raw Data'!$K$2:$K$251,$J5,'Raw Data'!$F$2:$F$251,M$4)</f>
        <v>1039.8699999999999</v>
      </c>
      <c r="N5" s="31">
        <f>SUMIFS('Raw Data'!$N$2:$N$251,'Raw Data'!$K$2:$K$251,$J5,'Raw Data'!$F$2:$F$251,N$4)</f>
        <v>5999.8</v>
      </c>
      <c r="O5" s="31">
        <f>SUMIFS('Raw Data'!$N$2:$N$251,'Raw Data'!$K$2:$K$251,$J5,'Raw Data'!$F$2:$F$251,O$4)</f>
        <v>1199.92</v>
      </c>
      <c r="P5" s="31">
        <f>SUMIFS('Raw Data'!$N$2:$N$251,'Raw Data'!$K$2:$K$251,$J5,'Raw Data'!$F$2:$F$251,P$4)</f>
        <v>1439.8400000000001</v>
      </c>
      <c r="Q5" s="31">
        <f>SUMIFS('Raw Data'!$N$2:$N$251,'Raw Data'!$K$2:$K$251,$J5,'Raw Data'!$F$2:$F$251,Q$4)</f>
        <v>7199.92</v>
      </c>
      <c r="R5" s="31">
        <f>SUMIFS('Raw Data'!$N$2:$N$251,'Raw Data'!$K$2:$K$251,$J5,'Raw Data'!$F$2:$F$251,R$4)</f>
        <v>5249.79</v>
      </c>
      <c r="S5" s="31">
        <f>SUMIFS('Raw Data'!$N$2:$N$251,'Raw Data'!$K$2:$K$251,$J5,'Raw Data'!$F$2:$F$251,S$4)</f>
        <v>3599.82</v>
      </c>
      <c r="T5" s="31">
        <f>SUMIFS('Raw Data'!$N$2:$N$251,'Raw Data'!$K$2:$K$251,$J5,'Raw Data'!$F$2:$F$251,T$4)</f>
        <v>9799.8599999999988</v>
      </c>
      <c r="U5" s="31">
        <f>SUM(K5:T5)</f>
        <v>41288.340000000004</v>
      </c>
    </row>
    <row r="6" spans="1:21" x14ac:dyDescent="0.25">
      <c r="A6" t="s">
        <v>409</v>
      </c>
      <c r="B6" s="19">
        <f>SUM('Raw Data'!H2:H251)</f>
        <v>753</v>
      </c>
      <c r="J6" s="30" t="s">
        <v>67</v>
      </c>
      <c r="K6" s="31">
        <f>SUMIFS('Raw Data'!$N$2:$N$251,'Raw Data'!$K$2:$K$251,$J6,'Raw Data'!$F$2:$F$251,K$4)</f>
        <v>1199.8</v>
      </c>
      <c r="L6" s="31">
        <f>SUMIFS('Raw Data'!$N$2:$N$251,'Raw Data'!$K$2:$K$251,$J6,'Raw Data'!$F$2:$F$251,L$4)</f>
        <v>1799.88</v>
      </c>
      <c r="M6" s="31">
        <f>SUMIFS('Raw Data'!$N$2:$N$251,'Raw Data'!$K$2:$K$251,$J6,'Raw Data'!$F$2:$F$251,M$4)</f>
        <v>1039.8699999999999</v>
      </c>
      <c r="N6" s="31">
        <f>SUMIFS('Raw Data'!$N$2:$N$251,'Raw Data'!$K$2:$K$251,$J6,'Raw Data'!$F$2:$F$251,N$4)</f>
        <v>3599.88</v>
      </c>
      <c r="O6" s="31">
        <f>SUMIFS('Raw Data'!$N$2:$N$251,'Raw Data'!$K$2:$K$251,$J6,'Raw Data'!$F$2:$F$251,O$4)</f>
        <v>1949.8700000000001</v>
      </c>
      <c r="P6" s="31">
        <f>SUMIFS('Raw Data'!$N$2:$N$251,'Raw Data'!$K$2:$K$251,$J6,'Raw Data'!$F$2:$F$251,P$4)</f>
        <v>1349.85</v>
      </c>
      <c r="Q6" s="31">
        <f>SUMIFS('Raw Data'!$N$2:$N$251,'Raw Data'!$K$2:$K$251,$J6,'Raw Data'!$F$2:$F$251,Q$4)</f>
        <v>27899.690000000002</v>
      </c>
      <c r="R6" s="31">
        <f>SUMIFS('Raw Data'!$N$2:$N$251,'Raw Data'!$K$2:$K$251,$J6,'Raw Data'!$F$2:$F$251,R$4)</f>
        <v>4749.8100000000004</v>
      </c>
      <c r="S6" s="31">
        <f>SUMIFS('Raw Data'!$N$2:$N$251,'Raw Data'!$K$2:$K$251,$J6,'Raw Data'!$F$2:$F$251,S$4)</f>
        <v>999.95</v>
      </c>
      <c r="T6" s="31">
        <f>SUMIFS('Raw Data'!$N$2:$N$251,'Raw Data'!$K$2:$K$251,$J6,'Raw Data'!$F$2:$F$251,T$4)</f>
        <v>14699.79</v>
      </c>
      <c r="U6" s="31">
        <f>SUM(K6:T6)</f>
        <v>59288.39</v>
      </c>
    </row>
    <row r="7" spans="1:21" x14ac:dyDescent="0.25">
      <c r="A7" t="s">
        <v>410</v>
      </c>
      <c r="B7" s="19">
        <f>AVERAGE('Raw Data'!N2:N251)</f>
        <v>916.76988000000131</v>
      </c>
      <c r="J7" s="30" t="s">
        <v>44</v>
      </c>
      <c r="K7" s="31">
        <f>SUMIFS('Raw Data'!$N$2:$N$251,'Raw Data'!$K$2:$K$251,$J7,'Raw Data'!$F$2:$F$251,K$4)</f>
        <v>479.92</v>
      </c>
      <c r="L7" s="31">
        <f>SUMIFS('Raw Data'!$N$2:$N$251,'Raw Data'!$K$2:$K$251,$J7,'Raw Data'!$F$2:$F$251,L$4)</f>
        <v>4949.67</v>
      </c>
      <c r="M7" s="31">
        <f>SUMIFS('Raw Data'!$N$2:$N$251,'Raw Data'!$K$2:$K$251,$J7,'Raw Data'!$F$2:$F$251,M$4)</f>
        <v>639.91999999999996</v>
      </c>
      <c r="N7" s="31">
        <f>SUMIFS('Raw Data'!$N$2:$N$251,'Raw Data'!$K$2:$K$251,$J7,'Raw Data'!$F$2:$F$251,N$4)</f>
        <v>2099.9300000000003</v>
      </c>
      <c r="O7" s="31">
        <f>SUMIFS('Raw Data'!$N$2:$N$251,'Raw Data'!$K$2:$K$251,$J7,'Raw Data'!$F$2:$F$251,O$4)</f>
        <v>1949.8700000000001</v>
      </c>
      <c r="P7" s="31">
        <f>SUMIFS('Raw Data'!$N$2:$N$251,'Raw Data'!$K$2:$K$251,$J7,'Raw Data'!$F$2:$F$251,P$4)</f>
        <v>1889.79</v>
      </c>
      <c r="Q7" s="31">
        <f>SUMIFS('Raw Data'!$N$2:$N$251,'Raw Data'!$K$2:$K$251,$J7,'Raw Data'!$F$2:$F$251,Q$4)</f>
        <v>12599.859999999999</v>
      </c>
      <c r="R7" s="31">
        <f>SUMIFS('Raw Data'!$N$2:$N$251,'Raw Data'!$K$2:$K$251,$J7,'Raw Data'!$F$2:$F$251,R$4)</f>
        <v>5999.7599999999993</v>
      </c>
      <c r="S7" s="31">
        <f>SUMIFS('Raw Data'!$N$2:$N$251,'Raw Data'!$K$2:$K$251,$J7,'Raw Data'!$F$2:$F$251,S$4)</f>
        <v>3399.83</v>
      </c>
      <c r="T7" s="31">
        <f>SUMIFS('Raw Data'!$N$2:$N$251,'Raw Data'!$K$2:$K$251,$J7,'Raw Data'!$F$2:$F$251,T$4)</f>
        <v>16799.759999999998</v>
      </c>
      <c r="U7" s="31">
        <f>SUM(K7:T7)</f>
        <v>50808.31</v>
      </c>
    </row>
    <row r="8" spans="1:21" x14ac:dyDescent="0.25">
      <c r="A8" t="s">
        <v>411</v>
      </c>
      <c r="B8" s="4">
        <f>SUMPRODUCT(('Raw Data'!D2:D251&lt;&gt;"")/COUNTIF('Raw Data'!D2:D251,'Raw Data'!D2:D251))</f>
        <v>50.000000000000028</v>
      </c>
      <c r="J8" s="30" t="s">
        <v>39</v>
      </c>
      <c r="K8" s="31">
        <f>SUMIFS('Raw Data'!$N$2:$N$251,'Raw Data'!$K$2:$K$251,$J8,'Raw Data'!$F$2:$F$251,K$4)</f>
        <v>779.87</v>
      </c>
      <c r="L8" s="31">
        <f>SUMIFS('Raw Data'!$N$2:$N$251,'Raw Data'!$K$2:$K$251,$J8,'Raw Data'!$F$2:$F$251,L$4)</f>
        <v>1349.91</v>
      </c>
      <c r="M8" s="31">
        <f>SUMIFS('Raw Data'!$N$2:$N$251,'Raw Data'!$K$2:$K$251,$J8,'Raw Data'!$F$2:$F$251,M$4)</f>
        <v>319.95999999999998</v>
      </c>
      <c r="N8" s="31">
        <f>SUMIFS('Raw Data'!$N$2:$N$251,'Raw Data'!$K$2:$K$251,$J8,'Raw Data'!$F$2:$F$251,N$4)</f>
        <v>6599.7800000000007</v>
      </c>
      <c r="O8" s="31">
        <f>SUMIFS('Raw Data'!$N$2:$N$251,'Raw Data'!$K$2:$K$251,$J8,'Raw Data'!$F$2:$F$251,O$4)</f>
        <v>899.94</v>
      </c>
      <c r="P8" s="31">
        <f>SUMIFS('Raw Data'!$N$2:$N$251,'Raw Data'!$K$2:$K$251,$J8,'Raw Data'!$F$2:$F$251,P$4)</f>
        <v>2249.75</v>
      </c>
      <c r="Q8" s="31">
        <f>SUMIFS('Raw Data'!$N$2:$N$251,'Raw Data'!$K$2:$K$251,$J8,'Raw Data'!$F$2:$F$251,Q$4)</f>
        <v>12599.86</v>
      </c>
      <c r="R8" s="31">
        <f>SUMIFS('Raw Data'!$N$2:$N$251,'Raw Data'!$K$2:$K$251,$J8,'Raw Data'!$F$2:$F$251,R$4)</f>
        <v>3499.8599999999997</v>
      </c>
      <c r="S8" s="31">
        <f>SUMIFS('Raw Data'!$N$2:$N$251,'Raw Data'!$K$2:$K$251,$J8,'Raw Data'!$F$2:$F$251,S$4)</f>
        <v>1799.91</v>
      </c>
      <c r="T8" s="31">
        <f>SUMIFS('Raw Data'!$N$2:$N$251,'Raw Data'!$K$2:$K$251,$J8,'Raw Data'!$F$2:$F$251,T$4)</f>
        <v>6299.91</v>
      </c>
      <c r="U8" s="31">
        <f>SUM(K8:T8)</f>
        <v>36398.75</v>
      </c>
    </row>
    <row r="9" spans="1:21" x14ac:dyDescent="0.25">
      <c r="J9" s="30" t="s">
        <v>54</v>
      </c>
      <c r="K9" s="31">
        <f>SUMIFS('Raw Data'!$N$2:$N$251,'Raw Data'!$K$2:$K$251,$J9,'Raw Data'!$F$2:$F$251,K$4)</f>
        <v>1799.7</v>
      </c>
      <c r="L9" s="31">
        <f>SUMIFS('Raw Data'!$N$2:$N$251,'Raw Data'!$K$2:$K$251,$J9,'Raw Data'!$F$2:$F$251,L$4)</f>
        <v>2399.84</v>
      </c>
      <c r="M9" s="31">
        <f>SUMIFS('Raw Data'!$N$2:$N$251,'Raw Data'!$K$2:$K$251,$J9,'Raw Data'!$F$2:$F$251,M$4)</f>
        <v>79.989999999999995</v>
      </c>
      <c r="N9" s="31">
        <f>SUMIFS('Raw Data'!$N$2:$N$251,'Raw Data'!$K$2:$K$251,$J9,'Raw Data'!$F$2:$F$251,N$4)</f>
        <v>5099.83</v>
      </c>
      <c r="O9" s="31">
        <f>SUMIFS('Raw Data'!$N$2:$N$251,'Raw Data'!$K$2:$K$251,$J9,'Raw Data'!$F$2:$F$251,O$4)</f>
        <v>1049.93</v>
      </c>
      <c r="P9" s="31">
        <f>SUMIFS('Raw Data'!$N$2:$N$251,'Raw Data'!$K$2:$K$251,$J9,'Raw Data'!$F$2:$F$251,P$4)</f>
        <v>1079.8799999999999</v>
      </c>
      <c r="Q9" s="31">
        <f>SUMIFS('Raw Data'!$N$2:$N$251,'Raw Data'!$K$2:$K$251,$J9,'Raw Data'!$F$2:$F$251,Q$4)</f>
        <v>7199.92</v>
      </c>
      <c r="R9" s="31">
        <f>SUMIFS('Raw Data'!$N$2:$N$251,'Raw Data'!$K$2:$K$251,$J9,'Raw Data'!$F$2:$F$251,R$4)</f>
        <v>2499.9</v>
      </c>
      <c r="S9" s="31">
        <f>SUMIFS('Raw Data'!$N$2:$N$251,'Raw Data'!$K$2:$K$251,$J9,'Raw Data'!$F$2:$F$251,S$4)</f>
        <v>599.97</v>
      </c>
      <c r="T9" s="31">
        <f>SUMIFS('Raw Data'!$N$2:$N$251,'Raw Data'!$K$2:$K$251,$J9,'Raw Data'!$F$2:$F$251,T$4)</f>
        <v>19599.719999999998</v>
      </c>
      <c r="U9" s="31">
        <f>SUM(K9:T9)</f>
        <v>41408.68</v>
      </c>
    </row>
    <row r="10" spans="1:21" x14ac:dyDescent="0.25">
      <c r="J10" s="32" t="s">
        <v>407</v>
      </c>
      <c r="K10" s="33">
        <f t="shared" ref="K10:U10" si="0">SUM(K5:K9)</f>
        <v>5219.13</v>
      </c>
      <c r="L10" s="33">
        <f t="shared" si="0"/>
        <v>15298.98</v>
      </c>
      <c r="M10" s="33">
        <f t="shared" si="0"/>
        <v>3119.6099999999997</v>
      </c>
      <c r="N10" s="33">
        <f t="shared" si="0"/>
        <v>23399.22</v>
      </c>
      <c r="O10" s="33">
        <f t="shared" si="0"/>
        <v>7049.5300000000007</v>
      </c>
      <c r="P10" s="33">
        <f t="shared" si="0"/>
        <v>8009.11</v>
      </c>
      <c r="Q10" s="33">
        <f t="shared" si="0"/>
        <v>67499.25</v>
      </c>
      <c r="R10" s="33">
        <f t="shared" si="0"/>
        <v>21999.120000000003</v>
      </c>
      <c r="S10" s="33">
        <f t="shared" si="0"/>
        <v>10399.48</v>
      </c>
      <c r="T10" s="33">
        <f t="shared" si="0"/>
        <v>67199.040000000008</v>
      </c>
      <c r="U10" s="33">
        <f t="shared" si="0"/>
        <v>229192.47</v>
      </c>
    </row>
    <row r="11" spans="1:21" x14ac:dyDescent="0.25">
      <c r="A11" s="5" t="s">
        <v>412</v>
      </c>
      <c r="E11" s="5" t="s">
        <v>413</v>
      </c>
    </row>
    <row r="12" spans="1:21" x14ac:dyDescent="0.25">
      <c r="A12" s="3" t="s">
        <v>10</v>
      </c>
      <c r="B12" s="3" t="s">
        <v>414</v>
      </c>
      <c r="C12" s="3" t="s">
        <v>408</v>
      </c>
      <c r="E12" s="3" t="s">
        <v>6</v>
      </c>
      <c r="F12" s="3" t="s">
        <v>414</v>
      </c>
      <c r="G12" s="3" t="s">
        <v>415</v>
      </c>
    </row>
    <row r="13" spans="1:21" x14ac:dyDescent="0.25">
      <c r="A13" t="s">
        <v>25</v>
      </c>
      <c r="B13" s="17">
        <f>SUMIF('Raw Data'!K$2:K$251,A13,'Raw Data'!N$2:N$251)</f>
        <v>41288.340000000018</v>
      </c>
      <c r="C13">
        <f>COUNTIF('Raw Data'!K$2:K$251,A13)</f>
        <v>54</v>
      </c>
      <c r="E13" t="s">
        <v>37</v>
      </c>
      <c r="F13" s="17">
        <f>SUMIF('Raw Data'!G$2:G$251,E13,'Raw Data'!N$2:N$251)</f>
        <v>8338.7399999999961</v>
      </c>
      <c r="G13">
        <f>SUMIF('Raw Data'!G$2:G$251,E13,'Raw Data'!H$2:H$251)</f>
        <v>126</v>
      </c>
    </row>
    <row r="14" spans="1:21" ht="23.1" customHeight="1" x14ac:dyDescent="0.25">
      <c r="A14" t="s">
        <v>67</v>
      </c>
      <c r="B14" s="17">
        <f>SUMIF('Raw Data'!K$2:K$251,A14,'Raw Data'!N$2:N$251)</f>
        <v>59288.389999999992</v>
      </c>
      <c r="C14">
        <f>COUNTIF('Raw Data'!K$2:K$251,A14)</f>
        <v>48</v>
      </c>
      <c r="E14" t="s">
        <v>23</v>
      </c>
      <c r="F14" s="17">
        <f>SUMIF('Raw Data'!G$2:G$251,E14,'Raw Data'!N$2:N$251)</f>
        <v>171756.05000000013</v>
      </c>
      <c r="G14">
        <f>SUMIF('Raw Data'!G$2:G$251,E14,'Raw Data'!H$2:H$251)</f>
        <v>395</v>
      </c>
      <c r="J14" s="45" t="s">
        <v>478</v>
      </c>
      <c r="K14" s="37"/>
      <c r="L14" s="37"/>
      <c r="M14" s="37"/>
      <c r="N14" s="37"/>
    </row>
    <row r="15" spans="1:21" x14ac:dyDescent="0.25">
      <c r="A15" t="s">
        <v>44</v>
      </c>
      <c r="B15" s="17">
        <f>SUMIF('Raw Data'!K$2:K$251,A15,'Raw Data'!N$2:N$251)</f>
        <v>50808.310000000012</v>
      </c>
      <c r="C15">
        <f>COUNTIF('Raw Data'!K$2:K$251,A15)</f>
        <v>59</v>
      </c>
      <c r="E15" t="s">
        <v>50</v>
      </c>
      <c r="F15" s="17">
        <f>SUMIF('Raw Data'!G$2:G$251,E15,'Raw Data'!N$2:N$251)</f>
        <v>49097.680000000015</v>
      </c>
      <c r="G15">
        <f>SUMIF('Raw Data'!G$2:G$251,E15,'Raw Data'!H$2:H$251)</f>
        <v>232</v>
      </c>
      <c r="J15" s="34" t="s">
        <v>416</v>
      </c>
      <c r="K15">
        <v>250</v>
      </c>
    </row>
    <row r="16" spans="1:21" x14ac:dyDescent="0.25">
      <c r="A16" t="s">
        <v>39</v>
      </c>
      <c r="B16" s="17">
        <f>SUMIF('Raw Data'!K$2:K$251,A16,'Raw Data'!N$2:N$251)</f>
        <v>36398.750000000007</v>
      </c>
      <c r="C16">
        <f>COUNTIF('Raw Data'!K$2:K$251,A16)</f>
        <v>42</v>
      </c>
      <c r="J16" s="34" t="s">
        <v>417</v>
      </c>
      <c r="K16" t="s">
        <v>13</v>
      </c>
    </row>
    <row r="17" spans="1:21" x14ac:dyDescent="0.25">
      <c r="A17" t="s">
        <v>54</v>
      </c>
      <c r="B17" s="17">
        <f>SUMIF('Raw Data'!K$2:K$251,A17,'Raw Data'!N$2:N$251)</f>
        <v>41408.680000000015</v>
      </c>
      <c r="C17">
        <f>COUNTIF('Raw Data'!K$2:K$251,A17)</f>
        <v>47</v>
      </c>
      <c r="J17" s="34" t="s">
        <v>418</v>
      </c>
      <c r="K17" t="s">
        <v>7</v>
      </c>
    </row>
    <row r="18" spans="1:21" x14ac:dyDescent="0.25">
      <c r="J18" s="34" t="s">
        <v>419</v>
      </c>
      <c r="K18" s="35">
        <v>353.79300428798729</v>
      </c>
    </row>
    <row r="19" spans="1:21" x14ac:dyDescent="0.25">
      <c r="J19" s="34" t="s">
        <v>420</v>
      </c>
      <c r="K19" s="35">
        <v>-148.85464891541781</v>
      </c>
    </row>
    <row r="20" spans="1:21" x14ac:dyDescent="0.25">
      <c r="A20" s="5" t="s">
        <v>421</v>
      </c>
      <c r="E20" s="5" t="s">
        <v>422</v>
      </c>
      <c r="J20" s="34" t="s">
        <v>423</v>
      </c>
      <c r="K20" s="35">
        <v>0.20983761707193779</v>
      </c>
    </row>
    <row r="21" spans="1:21" x14ac:dyDescent="0.25">
      <c r="A21" s="3" t="s">
        <v>424</v>
      </c>
      <c r="B21" s="3" t="s">
        <v>409</v>
      </c>
      <c r="C21" s="3" t="s">
        <v>414</v>
      </c>
      <c r="E21" s="3" t="s">
        <v>425</v>
      </c>
      <c r="F21" s="3" t="s">
        <v>414</v>
      </c>
      <c r="G21" s="3" t="s">
        <v>408</v>
      </c>
      <c r="J21" s="34" t="s">
        <v>426</v>
      </c>
      <c r="K21" s="35">
        <v>0.45808036093237808</v>
      </c>
    </row>
    <row r="22" spans="1:21" x14ac:dyDescent="0.25">
      <c r="A22" t="s">
        <v>36</v>
      </c>
      <c r="B22" s="17">
        <f>SUMIF('Raw Data'!F$2:F$251,A22,'Raw Data'!H$2:H$251)</f>
        <v>87</v>
      </c>
      <c r="C22" s="17">
        <f>SUMIF('Raw Data'!F$2:F$251,A22,'Raw Data'!N$2:N$251)</f>
        <v>5219.1299999999974</v>
      </c>
      <c r="E22" t="s">
        <v>330</v>
      </c>
      <c r="F22" s="17">
        <f>SUMIF('Raw Data'!D$2:D$251,E22,'Raw Data'!N$2:N$251)</f>
        <v>1559.94</v>
      </c>
      <c r="G22">
        <f>COUNTIF('Raw Data'!D$2:D$251,E22)</f>
        <v>3</v>
      </c>
      <c r="P22"/>
      <c r="Q22"/>
      <c r="R22"/>
      <c r="S22"/>
      <c r="T22"/>
      <c r="U22"/>
    </row>
    <row r="23" spans="1:21" x14ac:dyDescent="0.25">
      <c r="A23" t="s">
        <v>49</v>
      </c>
      <c r="B23" s="17">
        <f>SUMIF('Raw Data'!F$2:F$251,A23,'Raw Data'!H$2:H$251)</f>
        <v>102</v>
      </c>
      <c r="C23" s="17">
        <f>SUMIF('Raw Data'!F$2:F$251,A23,'Raw Data'!N$2:N$251)</f>
        <v>15298.979999999994</v>
      </c>
      <c r="E23" t="s">
        <v>101</v>
      </c>
      <c r="F23" s="17">
        <f>SUMIF('Raw Data'!D$2:D$251,E23,'Raw Data'!N$2:N$251)</f>
        <v>10649.8</v>
      </c>
      <c r="G23">
        <f>COUNTIF('Raw Data'!D$2:D$251,E23)</f>
        <v>5</v>
      </c>
      <c r="I23" s="16"/>
      <c r="J23"/>
      <c r="K23"/>
      <c r="L23"/>
      <c r="M23"/>
      <c r="N23"/>
      <c r="O23"/>
      <c r="P23"/>
      <c r="Q23"/>
      <c r="R23"/>
      <c r="S23"/>
      <c r="T23"/>
      <c r="U23"/>
    </row>
    <row r="24" spans="1:21" x14ac:dyDescent="0.25">
      <c r="A24" t="s">
        <v>119</v>
      </c>
      <c r="B24" s="17">
        <f>SUMIF('Raw Data'!F$2:F$251,A24,'Raw Data'!H$2:H$251)</f>
        <v>39</v>
      </c>
      <c r="C24" s="17">
        <f>SUMIF('Raw Data'!F$2:F$251,A24,'Raw Data'!N$2:N$251)</f>
        <v>3119.6099999999992</v>
      </c>
      <c r="E24" t="s">
        <v>163</v>
      </c>
      <c r="F24" s="17">
        <f>SUMIF('Raw Data'!D$2:D$251,E24,'Raw Data'!N$2:N$251)</f>
        <v>5649.84</v>
      </c>
      <c r="G24">
        <f>COUNTIF('Raw Data'!D$2:D$251,E24)</f>
        <v>5</v>
      </c>
      <c r="I24" s="16"/>
      <c r="O24"/>
      <c r="P24"/>
      <c r="Q24"/>
      <c r="R24"/>
      <c r="S24"/>
      <c r="T24"/>
      <c r="U24"/>
    </row>
    <row r="25" spans="1:21" x14ac:dyDescent="0.25">
      <c r="A25" t="s">
        <v>110</v>
      </c>
      <c r="B25" s="17">
        <f>SUMIF('Raw Data'!F$2:F$251,A25,'Raw Data'!H$2:H$251)</f>
        <v>78</v>
      </c>
      <c r="C25" s="17">
        <f>SUMIF('Raw Data'!F$2:F$251,A25,'Raw Data'!N$2:N$251)</f>
        <v>23399.22</v>
      </c>
      <c r="E25" t="s">
        <v>236</v>
      </c>
      <c r="F25" s="17">
        <f>SUMIF('Raw Data'!D$2:D$251,E25,'Raw Data'!N$2:N$251)</f>
        <v>1149.93</v>
      </c>
      <c r="G25">
        <f>COUNTIF('Raw Data'!D$2:D$251,E25)</f>
        <v>3</v>
      </c>
      <c r="I25" s="16"/>
      <c r="O25"/>
      <c r="P25"/>
      <c r="Q25"/>
      <c r="R25"/>
      <c r="S25"/>
      <c r="T25"/>
      <c r="U25"/>
    </row>
    <row r="26" spans="1:21" x14ac:dyDescent="0.25">
      <c r="A26" t="s">
        <v>57</v>
      </c>
      <c r="B26" s="17">
        <f>SUMIF('Raw Data'!F$2:F$251,A26,'Raw Data'!H$2:H$251)</f>
        <v>47</v>
      </c>
      <c r="C26" s="17">
        <f>SUMIF('Raw Data'!F$2:F$251,A26,'Raw Data'!N$2:N$251)</f>
        <v>7049.5299999999988</v>
      </c>
      <c r="E26" t="s">
        <v>60</v>
      </c>
      <c r="F26" s="17">
        <f>SUMIF('Raw Data'!D$2:D$251,E26,'Raw Data'!N$2:N$251)</f>
        <v>5089.7300000000005</v>
      </c>
      <c r="G26">
        <f>COUNTIF('Raw Data'!D$2:D$251,E26)</f>
        <v>9</v>
      </c>
      <c r="I26" s="16"/>
      <c r="O26"/>
      <c r="P26"/>
      <c r="Q26"/>
      <c r="R26"/>
      <c r="S26"/>
      <c r="T26"/>
      <c r="U26"/>
    </row>
    <row r="27" spans="1:21" x14ac:dyDescent="0.25">
      <c r="A27" t="s">
        <v>122</v>
      </c>
      <c r="B27" s="17">
        <f>SUMIF('Raw Data'!F$2:F$251,A27,'Raw Data'!H$2:H$251)</f>
        <v>89</v>
      </c>
      <c r="C27" s="17">
        <f>SUMIF('Raw Data'!F$2:F$251,A27,'Raw Data'!N$2:N$251)</f>
        <v>8009.1099999999969</v>
      </c>
      <c r="E27" t="s">
        <v>107</v>
      </c>
      <c r="F27" s="17">
        <f>SUMIF('Raw Data'!D$2:D$251,E27,'Raw Data'!N$2:N$251)</f>
        <v>3769.8300000000004</v>
      </c>
      <c r="G27">
        <f>COUNTIF('Raw Data'!D$2:D$251,E27)</f>
        <v>5</v>
      </c>
      <c r="I27" s="16"/>
      <c r="O27"/>
      <c r="P27"/>
      <c r="Q27"/>
      <c r="R27"/>
      <c r="S27"/>
      <c r="T27"/>
      <c r="U27"/>
    </row>
    <row r="28" spans="1:21" x14ac:dyDescent="0.25">
      <c r="A28" t="s">
        <v>66</v>
      </c>
      <c r="B28" s="17">
        <f>SUMIF('Raw Data'!F$2:F$251,A28,'Raw Data'!H$2:H$251)</f>
        <v>75</v>
      </c>
      <c r="C28" s="17">
        <f>SUMIF('Raw Data'!F$2:F$251,A28,'Raw Data'!N$2:N$251)</f>
        <v>67499.25</v>
      </c>
      <c r="E28" t="s">
        <v>152</v>
      </c>
      <c r="F28" s="17">
        <f>SUMIF('Raw Data'!D$2:D$251,E28,'Raw Data'!N$2:N$251)</f>
        <v>7309.7999999999993</v>
      </c>
      <c r="G28">
        <f>COUNTIF('Raw Data'!D$2:D$251,E28)</f>
        <v>7</v>
      </c>
      <c r="I28" s="16"/>
      <c r="O28"/>
      <c r="P28"/>
      <c r="Q28"/>
      <c r="R28"/>
      <c r="S28"/>
      <c r="T28"/>
      <c r="U28"/>
    </row>
    <row r="29" spans="1:21" x14ac:dyDescent="0.25">
      <c r="A29" t="s">
        <v>22</v>
      </c>
      <c r="B29" s="17">
        <f>SUMIF('Raw Data'!F$2:F$251,A29,'Raw Data'!H$2:H$251)</f>
        <v>88</v>
      </c>
      <c r="C29" s="17">
        <f>SUMIF('Raw Data'!F$2:F$251,A29,'Raw Data'!N$2:N$251)</f>
        <v>21999.119999999999</v>
      </c>
      <c r="E29" t="s">
        <v>187</v>
      </c>
      <c r="F29" s="17">
        <f>SUMIF('Raw Data'!D$2:D$251,E29,'Raw Data'!N$2:N$251)</f>
        <v>1809.84</v>
      </c>
      <c r="G29">
        <f>COUNTIF('Raw Data'!D$2:D$251,E29)</f>
        <v>6</v>
      </c>
      <c r="I29" s="16"/>
      <c r="M29" s="16" t="s">
        <v>477</v>
      </c>
      <c r="O29"/>
      <c r="P29"/>
      <c r="Q29"/>
      <c r="R29"/>
      <c r="S29"/>
      <c r="T29"/>
      <c r="U29"/>
    </row>
    <row r="30" spans="1:21" x14ac:dyDescent="0.25">
      <c r="A30" t="s">
        <v>131</v>
      </c>
      <c r="B30" s="17">
        <f>SUMIF('Raw Data'!F$2:F$251,A30,'Raw Data'!H$2:H$251)</f>
        <v>52</v>
      </c>
      <c r="C30" s="17">
        <f>SUMIF('Raw Data'!F$2:F$251,A30,'Raw Data'!N$2:N$251)</f>
        <v>10399.479999999998</v>
      </c>
      <c r="E30" t="s">
        <v>80</v>
      </c>
      <c r="F30" s="17">
        <f>SUMIF('Raw Data'!D$2:D$251,E30,'Raw Data'!N$2:N$251)</f>
        <v>479.91999999999996</v>
      </c>
      <c r="G30">
        <f>COUNTIF('Raw Data'!D$2:D$251,E30)</f>
        <v>2</v>
      </c>
      <c r="I30" s="16"/>
      <c r="O30"/>
      <c r="P30"/>
      <c r="Q30"/>
      <c r="R30"/>
      <c r="S30"/>
      <c r="T30"/>
      <c r="U30"/>
    </row>
    <row r="31" spans="1:21" x14ac:dyDescent="0.25">
      <c r="A31" t="s">
        <v>85</v>
      </c>
      <c r="B31" s="17">
        <f>SUMIF('Raw Data'!F$2:F$251,A31,'Raw Data'!H$2:H$251)</f>
        <v>96</v>
      </c>
      <c r="C31" s="17">
        <f>SUMIF('Raw Data'!F$2:F$251,A31,'Raw Data'!N$2:N$251)</f>
        <v>67199.039999999994</v>
      </c>
      <c r="E31" t="s">
        <v>53</v>
      </c>
      <c r="F31" s="17">
        <f>SUMIF('Raw Data'!D$2:D$251,E31,'Raw Data'!N$2:N$251)</f>
        <v>8269.7900000000009</v>
      </c>
      <c r="G31">
        <f>COUNTIF('Raw Data'!D$2:D$251,E31)</f>
        <v>6</v>
      </c>
      <c r="I31" s="16"/>
      <c r="O31"/>
      <c r="P31"/>
      <c r="Q31"/>
      <c r="R31"/>
      <c r="S31"/>
      <c r="T31"/>
      <c r="U31"/>
    </row>
    <row r="32" spans="1:21" x14ac:dyDescent="0.25">
      <c r="E32" t="s">
        <v>298</v>
      </c>
      <c r="F32" s="17">
        <f>SUMIF('Raw Data'!D$2:D$251,E32,'Raw Data'!N$2:N$251)</f>
        <v>4829.8899999999994</v>
      </c>
      <c r="G32">
        <f>COUNTIF('Raw Data'!D$2:D$251,E32)</f>
        <v>4</v>
      </c>
      <c r="I32" s="16"/>
      <c r="O32"/>
      <c r="P32"/>
      <c r="Q32"/>
      <c r="R32"/>
      <c r="S32"/>
      <c r="T32"/>
      <c r="U32"/>
    </row>
    <row r="33" spans="5:7" x14ac:dyDescent="0.25">
      <c r="E33" t="s">
        <v>128</v>
      </c>
      <c r="F33" s="17">
        <f>SUMIF('Raw Data'!D$2:D$251,E33,'Raw Data'!N$2:N$251)</f>
        <v>11919.769999999999</v>
      </c>
      <c r="G33">
        <f>COUNTIF('Raw Data'!D$2:D$251,E33)</f>
        <v>6</v>
      </c>
    </row>
    <row r="34" spans="5:7" x14ac:dyDescent="0.25">
      <c r="E34" t="s">
        <v>216</v>
      </c>
      <c r="F34" s="17">
        <f>SUMIF('Raw Data'!D$2:D$251,E34,'Raw Data'!N$2:N$251)</f>
        <v>3649.8599999999997</v>
      </c>
      <c r="G34">
        <f>COUNTIF('Raw Data'!D$2:D$251,E34)</f>
        <v>4</v>
      </c>
    </row>
    <row r="35" spans="5:7" x14ac:dyDescent="0.25">
      <c r="E35" t="s">
        <v>137</v>
      </c>
      <c r="F35" s="17">
        <f>SUMIF('Raw Data'!D$2:D$251,E35,'Raw Data'!N$2:N$251)</f>
        <v>1229.8800000000001</v>
      </c>
      <c r="G35">
        <f>COUNTIF('Raw Data'!D$2:D$251,E35)</f>
        <v>5</v>
      </c>
    </row>
    <row r="36" spans="5:7" x14ac:dyDescent="0.25">
      <c r="E36" t="s">
        <v>197</v>
      </c>
      <c r="F36" s="17">
        <f>SUMIF('Raw Data'!D$2:D$251,E36,'Raw Data'!N$2:N$251)</f>
        <v>1479.91</v>
      </c>
      <c r="G36">
        <f>COUNTIF('Raw Data'!D$2:D$251,E36)</f>
        <v>5</v>
      </c>
    </row>
    <row r="37" spans="5:7" x14ac:dyDescent="0.25">
      <c r="E37" t="s">
        <v>88</v>
      </c>
      <c r="F37" s="17">
        <f>SUMIF('Raw Data'!D$2:D$251,E37,'Raw Data'!N$2:N$251)</f>
        <v>3779.93</v>
      </c>
      <c r="G37">
        <f>COUNTIF('Raw Data'!D$2:D$251,E37)</f>
        <v>3</v>
      </c>
    </row>
    <row r="38" spans="5:7" x14ac:dyDescent="0.25">
      <c r="E38" t="s">
        <v>201</v>
      </c>
      <c r="F38" s="17">
        <f>SUMIF('Raw Data'!D$2:D$251,E38,'Raw Data'!N$2:N$251)</f>
        <v>6379.87</v>
      </c>
      <c r="G38">
        <f>COUNTIF('Raw Data'!D$2:D$251,E38)</f>
        <v>4</v>
      </c>
    </row>
    <row r="39" spans="5:7" x14ac:dyDescent="0.25">
      <c r="E39" t="s">
        <v>149</v>
      </c>
      <c r="F39" s="17">
        <f>SUMIF('Raw Data'!D$2:D$251,E39,'Raw Data'!N$2:N$251)</f>
        <v>5519.8899999999994</v>
      </c>
      <c r="G39">
        <f>COUNTIF('Raw Data'!D$2:D$251,E39)</f>
        <v>4</v>
      </c>
    </row>
    <row r="40" spans="5:7" x14ac:dyDescent="0.25">
      <c r="E40" t="s">
        <v>125</v>
      </c>
      <c r="F40" s="17">
        <f>SUMIF('Raw Data'!D$2:D$251,E40,'Raw Data'!N$2:N$251)</f>
        <v>6459.79</v>
      </c>
      <c r="G40">
        <f>COUNTIF('Raw Data'!D$2:D$251,E40)</f>
        <v>7</v>
      </c>
    </row>
    <row r="41" spans="5:7" x14ac:dyDescent="0.25">
      <c r="E41" t="s">
        <v>309</v>
      </c>
      <c r="F41" s="17">
        <f>SUMIF('Raw Data'!D$2:D$251,E41,'Raw Data'!N$2:N$251)</f>
        <v>179.97</v>
      </c>
      <c r="G41">
        <f>COUNTIF('Raw Data'!D$2:D$251,E41)</f>
        <v>1</v>
      </c>
    </row>
    <row r="42" spans="5:7" x14ac:dyDescent="0.25">
      <c r="E42" t="s">
        <v>146</v>
      </c>
      <c r="F42" s="17">
        <f>SUMIF('Raw Data'!D$2:D$251,E42,'Raw Data'!N$2:N$251)</f>
        <v>4739.8500000000004</v>
      </c>
      <c r="G42">
        <f>COUNTIF('Raw Data'!D$2:D$251,E42)</f>
        <v>4</v>
      </c>
    </row>
    <row r="43" spans="5:7" x14ac:dyDescent="0.25">
      <c r="E43" t="s">
        <v>391</v>
      </c>
      <c r="F43" s="17">
        <f>SUMIF('Raw Data'!D$2:D$251,E43,'Raw Data'!N$2:N$251)</f>
        <v>599.96</v>
      </c>
      <c r="G43">
        <f>COUNTIF('Raw Data'!D$2:D$251,E43)</f>
        <v>1</v>
      </c>
    </row>
    <row r="44" spans="5:7" x14ac:dyDescent="0.25">
      <c r="E44" t="s">
        <v>29</v>
      </c>
      <c r="F44" s="17">
        <f>SUMIF('Raw Data'!D$2:D$251,E44,'Raw Data'!N$2:N$251)</f>
        <v>6949.84</v>
      </c>
      <c r="G44">
        <f>COUNTIF('Raw Data'!D$2:D$251,E44)</f>
        <v>5</v>
      </c>
    </row>
    <row r="45" spans="5:7" x14ac:dyDescent="0.25">
      <c r="E45" t="s">
        <v>167</v>
      </c>
      <c r="F45" s="17">
        <f>SUMIF('Raw Data'!D$2:D$251,E45,'Raw Data'!N$2:N$251)</f>
        <v>239.96</v>
      </c>
      <c r="G45">
        <f>COUNTIF('Raw Data'!D$2:D$251,E45)</f>
        <v>1</v>
      </c>
    </row>
    <row r="46" spans="5:7" x14ac:dyDescent="0.25">
      <c r="E46" t="s">
        <v>70</v>
      </c>
      <c r="F46" s="17">
        <f>SUMIF('Raw Data'!D$2:D$251,E46,'Raw Data'!N$2:N$251)</f>
        <v>8009.7699999999995</v>
      </c>
      <c r="G46">
        <f>COUNTIF('Raw Data'!D$2:D$251,E46)</f>
        <v>8</v>
      </c>
    </row>
    <row r="47" spans="5:7" x14ac:dyDescent="0.25">
      <c r="E47" t="s">
        <v>43</v>
      </c>
      <c r="F47" s="17">
        <f>SUMIF('Raw Data'!D$2:D$251,E47,'Raw Data'!N$2:N$251)</f>
        <v>4309.8099999999995</v>
      </c>
      <c r="G47">
        <f>COUNTIF('Raw Data'!D$2:D$251,E47)</f>
        <v>6</v>
      </c>
    </row>
    <row r="48" spans="5:7" x14ac:dyDescent="0.25">
      <c r="E48" t="s">
        <v>34</v>
      </c>
      <c r="F48" s="17">
        <f>SUMIF('Raw Data'!D$2:D$251,E48,'Raw Data'!N$2:N$251)</f>
        <v>3259.87</v>
      </c>
      <c r="G48">
        <f>COUNTIF('Raw Data'!D$2:D$251,E48)</f>
        <v>6</v>
      </c>
    </row>
    <row r="49" spans="5:7" x14ac:dyDescent="0.25">
      <c r="E49" t="s">
        <v>231</v>
      </c>
      <c r="F49" s="17">
        <f>SUMIF('Raw Data'!D$2:D$251,E49,'Raw Data'!N$2:N$251)</f>
        <v>6989.7699999999986</v>
      </c>
      <c r="G49">
        <f>COUNTIF('Raw Data'!D$2:D$251,E49)</f>
        <v>8</v>
      </c>
    </row>
    <row r="50" spans="5:7" x14ac:dyDescent="0.25">
      <c r="E50" t="s">
        <v>117</v>
      </c>
      <c r="F50" s="17">
        <f>SUMIF('Raw Data'!D$2:D$251,E50,'Raw Data'!N$2:N$251)</f>
        <v>1289.9000000000001</v>
      </c>
      <c r="G50">
        <f>COUNTIF('Raw Data'!D$2:D$251,E50)</f>
        <v>4</v>
      </c>
    </row>
    <row r="51" spans="5:7" x14ac:dyDescent="0.25">
      <c r="E51" t="s">
        <v>134</v>
      </c>
      <c r="F51" s="17">
        <f>SUMIF('Raw Data'!D$2:D$251,E51,'Raw Data'!N$2:N$251)</f>
        <v>2039.8000000000002</v>
      </c>
      <c r="G51">
        <f>COUNTIF('Raw Data'!D$2:D$251,E51)</f>
        <v>5</v>
      </c>
    </row>
    <row r="52" spans="5:7" x14ac:dyDescent="0.25">
      <c r="E52" t="s">
        <v>190</v>
      </c>
      <c r="F52" s="17">
        <f>SUMIF('Raw Data'!D$2:D$251,E52,'Raw Data'!N$2:N$251)</f>
        <v>2099.88</v>
      </c>
      <c r="G52">
        <f>COUNTIF('Raw Data'!D$2:D$251,E52)</f>
        <v>4</v>
      </c>
    </row>
    <row r="53" spans="5:7" x14ac:dyDescent="0.25">
      <c r="E53" t="s">
        <v>94</v>
      </c>
      <c r="F53" s="17">
        <f>SUMIF('Raw Data'!D$2:D$251,E53,'Raw Data'!N$2:N$251)</f>
        <v>1909.93</v>
      </c>
      <c r="G53">
        <f>COUNTIF('Raw Data'!D$2:D$251,E53)</f>
        <v>4</v>
      </c>
    </row>
    <row r="54" spans="5:7" x14ac:dyDescent="0.25">
      <c r="E54" t="s">
        <v>91</v>
      </c>
      <c r="F54" s="17">
        <f>SUMIF('Raw Data'!D$2:D$251,E54,'Raw Data'!N$2:N$251)</f>
        <v>15659.65</v>
      </c>
      <c r="G54">
        <f>COUNTIF('Raw Data'!D$2:D$251,E54)</f>
        <v>12</v>
      </c>
    </row>
    <row r="55" spans="5:7" x14ac:dyDescent="0.25">
      <c r="E55" t="s">
        <v>47</v>
      </c>
      <c r="F55" s="17">
        <f>SUMIF('Raw Data'!D$2:D$251,E55,'Raw Data'!N$2:N$251)</f>
        <v>6169.7400000000007</v>
      </c>
      <c r="G55">
        <f>COUNTIF('Raw Data'!D$2:D$251,E55)</f>
        <v>9</v>
      </c>
    </row>
    <row r="56" spans="5:7" x14ac:dyDescent="0.25">
      <c r="E56" t="s">
        <v>83</v>
      </c>
      <c r="F56" s="17">
        <f>SUMIF('Raw Data'!D$2:D$251,E56,'Raw Data'!N$2:N$251)</f>
        <v>4199.9399999999996</v>
      </c>
      <c r="G56">
        <f>COUNTIF('Raw Data'!D$2:D$251,E56)</f>
        <v>2</v>
      </c>
    </row>
    <row r="57" spans="5:7" x14ac:dyDescent="0.25">
      <c r="E57" t="s">
        <v>113</v>
      </c>
      <c r="F57" s="17">
        <f>SUMIF('Raw Data'!D$2:D$251,E57,'Raw Data'!N$2:N$251)</f>
        <v>4189.7700000000004</v>
      </c>
      <c r="G57">
        <f>COUNTIF('Raw Data'!D$2:D$251,E57)</f>
        <v>6</v>
      </c>
    </row>
    <row r="58" spans="5:7" x14ac:dyDescent="0.25">
      <c r="E58" t="s">
        <v>104</v>
      </c>
      <c r="F58" s="17">
        <f>SUMIF('Raw Data'!D$2:D$251,E58,'Raw Data'!N$2:N$251)</f>
        <v>9799.73</v>
      </c>
      <c r="G58">
        <f>COUNTIF('Raw Data'!D$2:D$251,E58)</f>
        <v>8</v>
      </c>
    </row>
    <row r="59" spans="5:7" x14ac:dyDescent="0.25">
      <c r="E59" t="s">
        <v>20</v>
      </c>
      <c r="F59" s="17">
        <f>SUMIF('Raw Data'!D$2:D$251,E59,'Raw Data'!N$2:N$251)</f>
        <v>8309.739999999998</v>
      </c>
      <c r="G59">
        <f>COUNTIF('Raw Data'!D$2:D$251,E59)</f>
        <v>8</v>
      </c>
    </row>
    <row r="60" spans="5:7" x14ac:dyDescent="0.25">
      <c r="E60" t="s">
        <v>77</v>
      </c>
      <c r="F60" s="17">
        <f>SUMIF('Raw Data'!D$2:D$251,E60,'Raw Data'!N$2:N$251)</f>
        <v>5949.85</v>
      </c>
      <c r="G60">
        <f>COUNTIF('Raw Data'!D$2:D$251,E60)</f>
        <v>5</v>
      </c>
    </row>
    <row r="61" spans="5:7" x14ac:dyDescent="0.25">
      <c r="E61" t="s">
        <v>176</v>
      </c>
      <c r="F61" s="17">
        <f>SUMIF('Raw Data'!D$2:D$251,E61,'Raw Data'!N$2:N$251)</f>
        <v>3669.8500000000004</v>
      </c>
      <c r="G61">
        <f>COUNTIF('Raw Data'!D$2:D$251,E61)</f>
        <v>4</v>
      </c>
    </row>
    <row r="62" spans="5:7" x14ac:dyDescent="0.25">
      <c r="E62" t="s">
        <v>264</v>
      </c>
      <c r="F62" s="17">
        <f>SUMIF('Raw Data'!D$2:D$251,E62,'Raw Data'!N$2:N$251)</f>
        <v>739.93000000000006</v>
      </c>
      <c r="G62">
        <f>COUNTIF('Raw Data'!D$2:D$251,E62)</f>
        <v>3</v>
      </c>
    </row>
    <row r="63" spans="5:7" x14ac:dyDescent="0.25">
      <c r="E63" t="s">
        <v>64</v>
      </c>
      <c r="F63" s="17">
        <f>SUMIF('Raw Data'!D$2:D$251,E63,'Raw Data'!N$2:N$251)</f>
        <v>3509.8999999999996</v>
      </c>
      <c r="G63">
        <f>COUNTIF('Raw Data'!D$2:D$251,E63)</f>
        <v>5</v>
      </c>
    </row>
    <row r="64" spans="5:7" x14ac:dyDescent="0.25">
      <c r="E64" t="s">
        <v>251</v>
      </c>
      <c r="F64" s="17">
        <f>SUMIF('Raw Data'!D$2:D$251,E64,'Raw Data'!N$2:N$251)</f>
        <v>1749.92</v>
      </c>
      <c r="G64">
        <f>COUNTIF('Raw Data'!D$2:D$251,E64)</f>
        <v>3</v>
      </c>
    </row>
    <row r="65" spans="1:7" x14ac:dyDescent="0.25">
      <c r="E65" t="s">
        <v>239</v>
      </c>
      <c r="F65" s="17">
        <f>SUMIF('Raw Data'!D$2:D$251,E65,'Raw Data'!N$2:N$251)</f>
        <v>6349.83</v>
      </c>
      <c r="G65">
        <f>COUNTIF('Raw Data'!D$2:D$251,E65)</f>
        <v>5</v>
      </c>
    </row>
    <row r="66" spans="1:7" x14ac:dyDescent="0.25">
      <c r="E66" t="s">
        <v>159</v>
      </c>
      <c r="F66" s="17">
        <f>SUMIF('Raw Data'!D$2:D$251,E66,'Raw Data'!N$2:N$251)</f>
        <v>5499.8099999999995</v>
      </c>
      <c r="G66">
        <f>COUNTIF('Raw Data'!D$2:D$251,E66)</f>
        <v>5</v>
      </c>
    </row>
    <row r="67" spans="1:7" x14ac:dyDescent="0.25">
      <c r="E67" t="s">
        <v>155</v>
      </c>
      <c r="F67" s="17">
        <f>SUMIF('Raw Data'!D$2:D$251,E67,'Raw Data'!N$2:N$251)</f>
        <v>5619.869999999999</v>
      </c>
      <c r="G67">
        <f>COUNTIF('Raw Data'!D$2:D$251,E67)</f>
        <v>6</v>
      </c>
    </row>
    <row r="68" spans="1:7" x14ac:dyDescent="0.25">
      <c r="E68" t="s">
        <v>143</v>
      </c>
      <c r="F68" s="17">
        <f>SUMIF('Raw Data'!D$2:D$251,E68,'Raw Data'!N$2:N$251)</f>
        <v>2649.83</v>
      </c>
      <c r="G68">
        <f>COUNTIF('Raw Data'!D$2:D$251,E68)</f>
        <v>6</v>
      </c>
    </row>
    <row r="69" spans="1:7" x14ac:dyDescent="0.25">
      <c r="E69" t="s">
        <v>73</v>
      </c>
      <c r="F69" s="17">
        <f>SUMIF('Raw Data'!D$2:D$251,E69,'Raw Data'!N$2:N$251)</f>
        <v>1979.89</v>
      </c>
      <c r="G69">
        <f>COUNTIF('Raw Data'!D$2:D$251,E69)</f>
        <v>4</v>
      </c>
    </row>
    <row r="70" spans="1:7" x14ac:dyDescent="0.25">
      <c r="E70" t="s">
        <v>98</v>
      </c>
      <c r="F70" s="17">
        <f>SUMIF('Raw Data'!D$2:D$251,E70,'Raw Data'!N$2:N$251)</f>
        <v>4789.7900000000009</v>
      </c>
      <c r="G70">
        <f>COUNTIF('Raw Data'!D$2:D$251,E70)</f>
        <v>6</v>
      </c>
    </row>
    <row r="71" spans="1:7" x14ac:dyDescent="0.25">
      <c r="E71" t="s">
        <v>257</v>
      </c>
      <c r="F71" s="17">
        <f>SUMIF('Raw Data'!D$2:D$251,E71,'Raw Data'!N$2:N$251)</f>
        <v>4749.91</v>
      </c>
      <c r="G71">
        <f>COUNTIF('Raw Data'!D$2:D$251,E71)</f>
        <v>3</v>
      </c>
    </row>
    <row r="73" spans="1:7" ht="23.1" customHeight="1" x14ac:dyDescent="0.25">
      <c r="A73" s="36" t="s">
        <v>427</v>
      </c>
      <c r="B73" s="37"/>
      <c r="C73" s="37"/>
      <c r="D73" s="37"/>
      <c r="E73" s="37"/>
      <c r="F73" s="37"/>
    </row>
    <row r="75" spans="1:7" x14ac:dyDescent="0.25">
      <c r="A75" s="9" t="s">
        <v>428</v>
      </c>
      <c r="B75" s="20">
        <f>SUM('Raw Data'!N2:N251)</f>
        <v>229192.47000000032</v>
      </c>
    </row>
    <row r="76" spans="1:7" x14ac:dyDescent="0.25">
      <c r="A76" s="9" t="s">
        <v>429</v>
      </c>
      <c r="B76" s="10">
        <f>SUM('Raw Data'!H2:H251)</f>
        <v>753</v>
      </c>
    </row>
    <row r="78" spans="1:7" ht="23.1" customHeight="1" x14ac:dyDescent="0.25">
      <c r="A78" s="38" t="s">
        <v>430</v>
      </c>
      <c r="B78" s="37"/>
      <c r="C78" s="37"/>
      <c r="D78" s="37"/>
    </row>
    <row r="79" spans="1:7" ht="30" customHeight="1" x14ac:dyDescent="0.25">
      <c r="A79" s="11" t="s">
        <v>431</v>
      </c>
      <c r="B79" s="11" t="s">
        <v>432</v>
      </c>
      <c r="C79" s="11" t="s">
        <v>433</v>
      </c>
      <c r="D79" s="11" t="s">
        <v>434</v>
      </c>
    </row>
    <row r="80" spans="1:7" x14ac:dyDescent="0.25">
      <c r="A80" s="12" t="s">
        <v>435</v>
      </c>
      <c r="B80" s="13">
        <v>0</v>
      </c>
      <c r="C80" s="21">
        <f>$B$75*(1-B80)</f>
        <v>229192.47000000032</v>
      </c>
      <c r="D80" s="14">
        <f>C80-$B$75</f>
        <v>0</v>
      </c>
    </row>
    <row r="81" spans="1:7" x14ac:dyDescent="0.25">
      <c r="A81" s="12" t="s">
        <v>436</v>
      </c>
      <c r="B81" s="13">
        <v>0.05</v>
      </c>
      <c r="C81" s="21">
        <f>$B$75*(1-B81)</f>
        <v>217732.84650000031</v>
      </c>
      <c r="D81" s="14">
        <f>C81-$B$75</f>
        <v>-11459.623500000016</v>
      </c>
    </row>
    <row r="82" spans="1:7" x14ac:dyDescent="0.25">
      <c r="A82" s="12" t="s">
        <v>437</v>
      </c>
      <c r="B82" s="13">
        <v>0.1</v>
      </c>
      <c r="C82" s="21">
        <f>$B$75*(1-B82)</f>
        <v>206273.22300000029</v>
      </c>
      <c r="D82" s="14">
        <f>C82-$B$75</f>
        <v>-22919.247000000032</v>
      </c>
    </row>
    <row r="84" spans="1:7" ht="23.1" customHeight="1" x14ac:dyDescent="0.25">
      <c r="A84" s="38" t="s">
        <v>438</v>
      </c>
      <c r="B84" s="37"/>
      <c r="C84" s="37"/>
      <c r="D84" s="37"/>
    </row>
    <row r="85" spans="1:7" x14ac:dyDescent="0.25">
      <c r="A85" s="9" t="s">
        <v>439</v>
      </c>
      <c r="B85" s="22">
        <v>0.05</v>
      </c>
    </row>
    <row r="86" spans="1:7" x14ac:dyDescent="0.25">
      <c r="A86" s="9" t="s">
        <v>440</v>
      </c>
      <c r="B86" s="23">
        <f>$B$75*(1-$B$85)</f>
        <v>217732.84650000031</v>
      </c>
    </row>
    <row r="87" spans="1:7" x14ac:dyDescent="0.25">
      <c r="A87" s="9" t="s">
        <v>441</v>
      </c>
      <c r="B87" s="24">
        <f>$B$75*0.9</f>
        <v>206273.22300000029</v>
      </c>
    </row>
    <row r="88" spans="1:7" x14ac:dyDescent="0.25">
      <c r="A88" s="9" t="s">
        <v>442</v>
      </c>
      <c r="B88" s="23">
        <f>B86-B87</f>
        <v>11459.623500000016</v>
      </c>
    </row>
    <row r="89" spans="1:7" x14ac:dyDescent="0.25">
      <c r="A89"/>
    </row>
    <row r="90" spans="1:7" x14ac:dyDescent="0.25">
      <c r="A90"/>
    </row>
    <row r="92" spans="1:7" ht="23.1" customHeight="1" x14ac:dyDescent="0.25">
      <c r="A92" s="38" t="s">
        <v>443</v>
      </c>
      <c r="B92" s="37"/>
      <c r="C92" s="37"/>
      <c r="D92" s="37"/>
      <c r="E92" s="37"/>
      <c r="F92" s="37"/>
      <c r="G92" s="37"/>
    </row>
    <row r="93" spans="1:7" x14ac:dyDescent="0.25">
      <c r="A93" s="11" t="s">
        <v>424</v>
      </c>
      <c r="B93" s="11" t="s">
        <v>409</v>
      </c>
      <c r="C93" s="11" t="s">
        <v>444</v>
      </c>
      <c r="D93" s="11" t="s">
        <v>445</v>
      </c>
      <c r="E93" s="11" t="s">
        <v>446</v>
      </c>
      <c r="F93" s="11" t="s">
        <v>408</v>
      </c>
    </row>
    <row r="94" spans="1:7" x14ac:dyDescent="0.25">
      <c r="A94" s="12" t="s">
        <v>36</v>
      </c>
      <c r="B94" s="12">
        <f>SUMIF('Raw Data'!$F$2:$F$251,A94,'Raw Data'!$H$2:$H$251)</f>
        <v>87</v>
      </c>
      <c r="C94" s="12">
        <f>COUNTIF('Raw Data'!$F$2:$F$251,A94)</f>
        <v>29</v>
      </c>
      <c r="D94" s="12" t="s">
        <v>330</v>
      </c>
      <c r="E94" s="12" t="str">
        <f t="shared" ref="E94:E125" si="1">IF(F94&gt;1,"Repeating","Unique")</f>
        <v>Repeating</v>
      </c>
      <c r="F94" s="12">
        <f>COUNTIF('Raw Data'!$D$2:$D$251,D94)</f>
        <v>3</v>
      </c>
    </row>
    <row r="95" spans="1:7" x14ac:dyDescent="0.25">
      <c r="A95" s="12" t="s">
        <v>49</v>
      </c>
      <c r="B95" s="12">
        <f>SUMIF('Raw Data'!$F$2:$F$251,A95,'Raw Data'!$H$2:$H$251)</f>
        <v>102</v>
      </c>
      <c r="C95" s="12">
        <f>COUNTIF('Raw Data'!$F$2:$F$251,A95)</f>
        <v>35</v>
      </c>
      <c r="D95" s="12" t="s">
        <v>101</v>
      </c>
      <c r="E95" s="12" t="str">
        <f t="shared" si="1"/>
        <v>Repeating</v>
      </c>
      <c r="F95" s="12">
        <f>COUNTIF('Raw Data'!$D$2:$D$251,D95)</f>
        <v>5</v>
      </c>
    </row>
    <row r="96" spans="1:7" x14ac:dyDescent="0.25">
      <c r="A96" s="12" t="s">
        <v>119</v>
      </c>
      <c r="B96" s="12">
        <f>SUMIF('Raw Data'!$F$2:$F$251,A96,'Raw Data'!$H$2:$H$251)</f>
        <v>39</v>
      </c>
      <c r="C96" s="12">
        <f>COUNTIF('Raw Data'!$F$2:$F$251,A96)</f>
        <v>14</v>
      </c>
      <c r="D96" s="12" t="s">
        <v>163</v>
      </c>
      <c r="E96" s="12" t="str">
        <f t="shared" si="1"/>
        <v>Repeating</v>
      </c>
      <c r="F96" s="12">
        <f>COUNTIF('Raw Data'!$D$2:$D$251,D96)</f>
        <v>5</v>
      </c>
    </row>
    <row r="97" spans="1:6" x14ac:dyDescent="0.25">
      <c r="A97" s="12" t="s">
        <v>110</v>
      </c>
      <c r="B97" s="12">
        <f>SUMIF('Raw Data'!$F$2:$F$251,A97,'Raw Data'!$H$2:$H$251)</f>
        <v>78</v>
      </c>
      <c r="C97" s="12">
        <f>COUNTIF('Raw Data'!$F$2:$F$251,A97)</f>
        <v>26</v>
      </c>
      <c r="D97" s="12" t="s">
        <v>236</v>
      </c>
      <c r="E97" s="12" t="str">
        <f t="shared" si="1"/>
        <v>Repeating</v>
      </c>
      <c r="F97" s="12">
        <f>COUNTIF('Raw Data'!$D$2:$D$251,D97)</f>
        <v>3</v>
      </c>
    </row>
    <row r="98" spans="1:6" x14ac:dyDescent="0.25">
      <c r="A98" s="12" t="s">
        <v>57</v>
      </c>
      <c r="B98" s="12">
        <f>SUMIF('Raw Data'!$F$2:$F$251,A98,'Raw Data'!$H$2:$H$251)</f>
        <v>47</v>
      </c>
      <c r="C98" s="12">
        <f>COUNTIF('Raw Data'!$F$2:$F$251,A98)</f>
        <v>16</v>
      </c>
      <c r="D98" s="12" t="s">
        <v>60</v>
      </c>
      <c r="E98" s="12" t="str">
        <f t="shared" si="1"/>
        <v>Repeating</v>
      </c>
      <c r="F98" s="12">
        <f>COUNTIF('Raw Data'!$D$2:$D$251,D98)</f>
        <v>9</v>
      </c>
    </row>
    <row r="99" spans="1:6" x14ac:dyDescent="0.25">
      <c r="A99" s="12" t="s">
        <v>122</v>
      </c>
      <c r="B99" s="12">
        <f>SUMIF('Raw Data'!$F$2:$F$251,A99,'Raw Data'!$H$2:$H$251)</f>
        <v>89</v>
      </c>
      <c r="C99" s="12">
        <f>COUNTIF('Raw Data'!$F$2:$F$251,A99)</f>
        <v>34</v>
      </c>
      <c r="D99" s="12" t="s">
        <v>107</v>
      </c>
      <c r="E99" s="12" t="str">
        <f t="shared" si="1"/>
        <v>Repeating</v>
      </c>
      <c r="F99" s="12">
        <f>COUNTIF('Raw Data'!$D$2:$D$251,D99)</f>
        <v>5</v>
      </c>
    </row>
    <row r="100" spans="1:6" x14ac:dyDescent="0.25">
      <c r="A100" s="12" t="s">
        <v>66</v>
      </c>
      <c r="B100" s="12">
        <f>SUMIF('Raw Data'!$F$2:$F$251,A100,'Raw Data'!$H$2:$H$251)</f>
        <v>75</v>
      </c>
      <c r="C100" s="12">
        <f>COUNTIF('Raw Data'!$F$2:$F$251,A100)</f>
        <v>24</v>
      </c>
      <c r="D100" s="12" t="s">
        <v>152</v>
      </c>
      <c r="E100" s="12" t="str">
        <f t="shared" si="1"/>
        <v>Repeating</v>
      </c>
      <c r="F100" s="12">
        <f>COUNTIF('Raw Data'!$D$2:$D$251,D100)</f>
        <v>7</v>
      </c>
    </row>
    <row r="101" spans="1:6" x14ac:dyDescent="0.25">
      <c r="A101" s="12" t="s">
        <v>22</v>
      </c>
      <c r="B101" s="12">
        <f>SUMIF('Raw Data'!$F$2:$F$251,A101,'Raw Data'!$H$2:$H$251)</f>
        <v>88</v>
      </c>
      <c r="C101" s="12">
        <f>COUNTIF('Raw Data'!$F$2:$F$251,A101)</f>
        <v>26</v>
      </c>
      <c r="D101" s="12" t="s">
        <v>187</v>
      </c>
      <c r="E101" s="12" t="str">
        <f t="shared" si="1"/>
        <v>Repeating</v>
      </c>
      <c r="F101" s="12">
        <f>COUNTIF('Raw Data'!$D$2:$D$251,D101)</f>
        <v>6</v>
      </c>
    </row>
    <row r="102" spans="1:6" x14ac:dyDescent="0.25">
      <c r="A102" s="12" t="s">
        <v>131</v>
      </c>
      <c r="B102" s="12">
        <f>SUMIF('Raw Data'!$F$2:$F$251,A102,'Raw Data'!$H$2:$H$251)</f>
        <v>52</v>
      </c>
      <c r="C102" s="12">
        <f>COUNTIF('Raw Data'!$F$2:$F$251,A102)</f>
        <v>15</v>
      </c>
      <c r="D102" s="12" t="s">
        <v>80</v>
      </c>
      <c r="E102" s="12" t="str">
        <f t="shared" si="1"/>
        <v>Repeating</v>
      </c>
      <c r="F102" s="12">
        <f>COUNTIF('Raw Data'!$D$2:$D$251,D102)</f>
        <v>2</v>
      </c>
    </row>
    <row r="103" spans="1:6" x14ac:dyDescent="0.25">
      <c r="A103" s="12" t="s">
        <v>85</v>
      </c>
      <c r="B103" s="12">
        <f>SUMIF('Raw Data'!$F$2:$F$251,A103,'Raw Data'!$H$2:$H$251)</f>
        <v>96</v>
      </c>
      <c r="C103" s="12">
        <f>COUNTIF('Raw Data'!$F$2:$F$251,A103)</f>
        <v>31</v>
      </c>
      <c r="D103" s="12" t="s">
        <v>53</v>
      </c>
      <c r="E103" s="12" t="str">
        <f t="shared" si="1"/>
        <v>Repeating</v>
      </c>
      <c r="F103" s="12">
        <f>COUNTIF('Raw Data'!$D$2:$D$251,D103)</f>
        <v>6</v>
      </c>
    </row>
    <row r="104" spans="1:6" x14ac:dyDescent="0.25">
      <c r="A104" s="12"/>
      <c r="B104" s="12"/>
      <c r="C104" s="12"/>
      <c r="D104" s="12" t="s">
        <v>298</v>
      </c>
      <c r="E104" s="12" t="str">
        <f t="shared" si="1"/>
        <v>Repeating</v>
      </c>
      <c r="F104" s="12">
        <f>COUNTIF('Raw Data'!$D$2:$D$251,D104)</f>
        <v>4</v>
      </c>
    </row>
    <row r="105" spans="1:6" x14ac:dyDescent="0.25">
      <c r="A105" s="12"/>
      <c r="B105" s="12"/>
      <c r="C105" s="12"/>
      <c r="D105" s="12" t="s">
        <v>128</v>
      </c>
      <c r="E105" s="12" t="str">
        <f t="shared" si="1"/>
        <v>Repeating</v>
      </c>
      <c r="F105" s="12">
        <f>COUNTIF('Raw Data'!$D$2:$D$251,D105)</f>
        <v>6</v>
      </c>
    </row>
    <row r="106" spans="1:6" x14ac:dyDescent="0.25">
      <c r="A106" s="12"/>
      <c r="B106" s="12"/>
      <c r="C106" s="12"/>
      <c r="D106" s="12" t="s">
        <v>216</v>
      </c>
      <c r="E106" s="12" t="str">
        <f t="shared" si="1"/>
        <v>Repeating</v>
      </c>
      <c r="F106" s="12">
        <f>COUNTIF('Raw Data'!$D$2:$D$251,D106)</f>
        <v>4</v>
      </c>
    </row>
    <row r="107" spans="1:6" x14ac:dyDescent="0.25">
      <c r="A107" s="12"/>
      <c r="B107" s="12"/>
      <c r="C107" s="12"/>
      <c r="D107" s="12" t="s">
        <v>137</v>
      </c>
      <c r="E107" s="12" t="str">
        <f t="shared" si="1"/>
        <v>Repeating</v>
      </c>
      <c r="F107" s="12">
        <f>COUNTIF('Raw Data'!$D$2:$D$251,D107)</f>
        <v>5</v>
      </c>
    </row>
    <row r="108" spans="1:6" x14ac:dyDescent="0.25">
      <c r="A108" s="12"/>
      <c r="B108" s="12"/>
      <c r="C108" s="12"/>
      <c r="D108" s="12" t="s">
        <v>197</v>
      </c>
      <c r="E108" s="12" t="str">
        <f t="shared" si="1"/>
        <v>Repeating</v>
      </c>
      <c r="F108" s="12">
        <f>COUNTIF('Raw Data'!$D$2:$D$251,D108)</f>
        <v>5</v>
      </c>
    </row>
    <row r="109" spans="1:6" x14ac:dyDescent="0.25">
      <c r="A109" s="12"/>
      <c r="B109" s="12"/>
      <c r="C109" s="12"/>
      <c r="D109" s="12" t="s">
        <v>88</v>
      </c>
      <c r="E109" s="12" t="str">
        <f t="shared" si="1"/>
        <v>Repeating</v>
      </c>
      <c r="F109" s="12">
        <f>COUNTIF('Raw Data'!$D$2:$D$251,D109)</f>
        <v>3</v>
      </c>
    </row>
    <row r="110" spans="1:6" x14ac:dyDescent="0.25">
      <c r="A110" s="12"/>
      <c r="B110" s="12"/>
      <c r="C110" s="12"/>
      <c r="D110" s="12" t="s">
        <v>201</v>
      </c>
      <c r="E110" s="12" t="str">
        <f t="shared" si="1"/>
        <v>Repeating</v>
      </c>
      <c r="F110" s="12">
        <f>COUNTIF('Raw Data'!$D$2:$D$251,D110)</f>
        <v>4</v>
      </c>
    </row>
    <row r="111" spans="1:6" x14ac:dyDescent="0.25">
      <c r="A111" s="12"/>
      <c r="B111" s="12"/>
      <c r="C111" s="12"/>
      <c r="D111" s="12" t="s">
        <v>149</v>
      </c>
      <c r="E111" s="12" t="str">
        <f t="shared" si="1"/>
        <v>Repeating</v>
      </c>
      <c r="F111" s="12">
        <f>COUNTIF('Raw Data'!$D$2:$D$251,D111)</f>
        <v>4</v>
      </c>
    </row>
    <row r="112" spans="1:6" x14ac:dyDescent="0.25">
      <c r="A112" s="12"/>
      <c r="B112" s="12"/>
      <c r="C112" s="12"/>
      <c r="D112" s="12" t="s">
        <v>125</v>
      </c>
      <c r="E112" s="12" t="str">
        <f t="shared" si="1"/>
        <v>Repeating</v>
      </c>
      <c r="F112" s="12">
        <f>COUNTIF('Raw Data'!$D$2:$D$251,D112)</f>
        <v>7</v>
      </c>
    </row>
    <row r="113" spans="1:6" x14ac:dyDescent="0.25">
      <c r="A113" s="12"/>
      <c r="B113" s="12"/>
      <c r="C113" s="12"/>
      <c r="D113" s="12" t="s">
        <v>309</v>
      </c>
      <c r="E113" s="12" t="str">
        <f t="shared" si="1"/>
        <v>Unique</v>
      </c>
      <c r="F113" s="12">
        <f>COUNTIF('Raw Data'!$D$2:$D$251,D113)</f>
        <v>1</v>
      </c>
    </row>
    <row r="114" spans="1:6" x14ac:dyDescent="0.25">
      <c r="A114" s="12"/>
      <c r="B114" s="12"/>
      <c r="C114" s="12"/>
      <c r="D114" s="12" t="s">
        <v>146</v>
      </c>
      <c r="E114" s="12" t="str">
        <f t="shared" si="1"/>
        <v>Repeating</v>
      </c>
      <c r="F114" s="12">
        <f>COUNTIF('Raw Data'!$D$2:$D$251,D114)</f>
        <v>4</v>
      </c>
    </row>
    <row r="115" spans="1:6" x14ac:dyDescent="0.25">
      <c r="A115" s="12"/>
      <c r="B115" s="12"/>
      <c r="C115" s="12"/>
      <c r="D115" s="12" t="s">
        <v>391</v>
      </c>
      <c r="E115" s="12" t="str">
        <f t="shared" si="1"/>
        <v>Unique</v>
      </c>
      <c r="F115" s="12">
        <f>COUNTIF('Raw Data'!$D$2:$D$251,D115)</f>
        <v>1</v>
      </c>
    </row>
    <row r="116" spans="1:6" x14ac:dyDescent="0.25">
      <c r="A116" s="12"/>
      <c r="B116" s="12"/>
      <c r="C116" s="12"/>
      <c r="D116" s="12" t="s">
        <v>29</v>
      </c>
      <c r="E116" s="12" t="str">
        <f t="shared" si="1"/>
        <v>Repeating</v>
      </c>
      <c r="F116" s="12">
        <f>COUNTIF('Raw Data'!$D$2:$D$251,D116)</f>
        <v>5</v>
      </c>
    </row>
    <row r="117" spans="1:6" x14ac:dyDescent="0.25">
      <c r="A117" s="12"/>
      <c r="B117" s="12"/>
      <c r="C117" s="12"/>
      <c r="D117" s="12" t="s">
        <v>167</v>
      </c>
      <c r="E117" s="12" t="str">
        <f t="shared" si="1"/>
        <v>Unique</v>
      </c>
      <c r="F117" s="12">
        <f>COUNTIF('Raw Data'!$D$2:$D$251,D117)</f>
        <v>1</v>
      </c>
    </row>
    <row r="118" spans="1:6" x14ac:dyDescent="0.25">
      <c r="A118" s="12"/>
      <c r="B118" s="12"/>
      <c r="C118" s="12"/>
      <c r="D118" s="12" t="s">
        <v>70</v>
      </c>
      <c r="E118" s="12" t="str">
        <f t="shared" si="1"/>
        <v>Repeating</v>
      </c>
      <c r="F118" s="12">
        <f>COUNTIF('Raw Data'!$D$2:$D$251,D118)</f>
        <v>8</v>
      </c>
    </row>
    <row r="119" spans="1:6" x14ac:dyDescent="0.25">
      <c r="A119" s="12"/>
      <c r="B119" s="12"/>
      <c r="C119" s="12"/>
      <c r="D119" s="12" t="s">
        <v>43</v>
      </c>
      <c r="E119" s="12" t="str">
        <f t="shared" si="1"/>
        <v>Repeating</v>
      </c>
      <c r="F119" s="12">
        <f>COUNTIF('Raw Data'!$D$2:$D$251,D119)</f>
        <v>6</v>
      </c>
    </row>
    <row r="120" spans="1:6" x14ac:dyDescent="0.25">
      <c r="A120" s="12"/>
      <c r="B120" s="12"/>
      <c r="C120" s="12"/>
      <c r="D120" s="12" t="s">
        <v>34</v>
      </c>
      <c r="E120" s="12" t="str">
        <f t="shared" si="1"/>
        <v>Repeating</v>
      </c>
      <c r="F120" s="12">
        <f>COUNTIF('Raw Data'!$D$2:$D$251,D120)</f>
        <v>6</v>
      </c>
    </row>
    <row r="121" spans="1:6" x14ac:dyDescent="0.25">
      <c r="A121" s="12"/>
      <c r="B121" s="12"/>
      <c r="C121" s="12"/>
      <c r="D121" s="12" t="s">
        <v>231</v>
      </c>
      <c r="E121" s="12" t="str">
        <f t="shared" si="1"/>
        <v>Repeating</v>
      </c>
      <c r="F121" s="12">
        <f>COUNTIF('Raw Data'!$D$2:$D$251,D121)</f>
        <v>8</v>
      </c>
    </row>
    <row r="122" spans="1:6" x14ac:dyDescent="0.25">
      <c r="A122" s="12"/>
      <c r="B122" s="12"/>
      <c r="C122" s="12"/>
      <c r="D122" s="12" t="s">
        <v>117</v>
      </c>
      <c r="E122" s="12" t="str">
        <f t="shared" si="1"/>
        <v>Repeating</v>
      </c>
      <c r="F122" s="12">
        <f>COUNTIF('Raw Data'!$D$2:$D$251,D122)</f>
        <v>4</v>
      </c>
    </row>
    <row r="123" spans="1:6" x14ac:dyDescent="0.25">
      <c r="A123" s="12"/>
      <c r="B123" s="12"/>
      <c r="C123" s="12"/>
      <c r="D123" s="12" t="s">
        <v>134</v>
      </c>
      <c r="E123" s="12" t="str">
        <f t="shared" si="1"/>
        <v>Repeating</v>
      </c>
      <c r="F123" s="12">
        <f>COUNTIF('Raw Data'!$D$2:$D$251,D123)</f>
        <v>5</v>
      </c>
    </row>
    <row r="124" spans="1:6" x14ac:dyDescent="0.25">
      <c r="A124" s="12"/>
      <c r="B124" s="12"/>
      <c r="C124" s="12"/>
      <c r="D124" s="12" t="s">
        <v>190</v>
      </c>
      <c r="E124" s="12" t="str">
        <f t="shared" si="1"/>
        <v>Repeating</v>
      </c>
      <c r="F124" s="12">
        <f>COUNTIF('Raw Data'!$D$2:$D$251,D124)</f>
        <v>4</v>
      </c>
    </row>
    <row r="125" spans="1:6" x14ac:dyDescent="0.25">
      <c r="A125" s="12"/>
      <c r="B125" s="12"/>
      <c r="C125" s="12"/>
      <c r="D125" s="12" t="s">
        <v>94</v>
      </c>
      <c r="E125" s="12" t="str">
        <f t="shared" si="1"/>
        <v>Repeating</v>
      </c>
      <c r="F125" s="12">
        <f>COUNTIF('Raw Data'!$D$2:$D$251,D125)</f>
        <v>4</v>
      </c>
    </row>
    <row r="126" spans="1:6" x14ac:dyDescent="0.25">
      <c r="A126" s="12"/>
      <c r="B126" s="12"/>
      <c r="C126" s="12"/>
      <c r="D126" s="12" t="s">
        <v>91</v>
      </c>
      <c r="E126" s="12" t="str">
        <f t="shared" ref="E126:E157" si="2">IF(F126&gt;1,"Repeating","Unique")</f>
        <v>Repeating</v>
      </c>
      <c r="F126" s="12">
        <f>COUNTIF('Raw Data'!$D$2:$D$251,D126)</f>
        <v>12</v>
      </c>
    </row>
    <row r="127" spans="1:6" x14ac:dyDescent="0.25">
      <c r="A127" s="12"/>
      <c r="B127" s="12"/>
      <c r="C127" s="12"/>
      <c r="D127" s="12" t="s">
        <v>47</v>
      </c>
      <c r="E127" s="12" t="str">
        <f t="shared" si="2"/>
        <v>Repeating</v>
      </c>
      <c r="F127" s="12">
        <f>COUNTIF('Raw Data'!$D$2:$D$251,D127)</f>
        <v>9</v>
      </c>
    </row>
    <row r="128" spans="1:6" x14ac:dyDescent="0.25">
      <c r="A128" s="12"/>
      <c r="B128" s="12"/>
      <c r="C128" s="12"/>
      <c r="D128" s="12" t="s">
        <v>83</v>
      </c>
      <c r="E128" s="12" t="str">
        <f t="shared" si="2"/>
        <v>Repeating</v>
      </c>
      <c r="F128" s="12">
        <f>COUNTIF('Raw Data'!$D$2:$D$251,D128)</f>
        <v>2</v>
      </c>
    </row>
    <row r="129" spans="1:6" x14ac:dyDescent="0.25">
      <c r="A129" s="12"/>
      <c r="B129" s="12"/>
      <c r="C129" s="12"/>
      <c r="D129" s="12" t="s">
        <v>113</v>
      </c>
      <c r="E129" s="12" t="str">
        <f t="shared" si="2"/>
        <v>Repeating</v>
      </c>
      <c r="F129" s="12">
        <f>COUNTIF('Raw Data'!$D$2:$D$251,D129)</f>
        <v>6</v>
      </c>
    </row>
    <row r="130" spans="1:6" x14ac:dyDescent="0.25">
      <c r="A130" s="12"/>
      <c r="B130" s="12"/>
      <c r="C130" s="12"/>
      <c r="D130" s="12" t="s">
        <v>104</v>
      </c>
      <c r="E130" s="12" t="str">
        <f t="shared" si="2"/>
        <v>Repeating</v>
      </c>
      <c r="F130" s="12">
        <f>COUNTIF('Raw Data'!$D$2:$D$251,D130)</f>
        <v>8</v>
      </c>
    </row>
    <row r="131" spans="1:6" x14ac:dyDescent="0.25">
      <c r="A131" s="12"/>
      <c r="B131" s="12"/>
      <c r="C131" s="12"/>
      <c r="D131" s="12" t="s">
        <v>20</v>
      </c>
      <c r="E131" s="12" t="str">
        <f t="shared" si="2"/>
        <v>Repeating</v>
      </c>
      <c r="F131" s="12">
        <f>COUNTIF('Raw Data'!$D$2:$D$251,D131)</f>
        <v>8</v>
      </c>
    </row>
    <row r="132" spans="1:6" x14ac:dyDescent="0.25">
      <c r="A132" s="12"/>
      <c r="B132" s="12"/>
      <c r="C132" s="12"/>
      <c r="D132" s="12" t="s">
        <v>77</v>
      </c>
      <c r="E132" s="12" t="str">
        <f t="shared" si="2"/>
        <v>Repeating</v>
      </c>
      <c r="F132" s="12">
        <f>COUNTIF('Raw Data'!$D$2:$D$251,D132)</f>
        <v>5</v>
      </c>
    </row>
    <row r="133" spans="1:6" x14ac:dyDescent="0.25">
      <c r="A133" s="12"/>
      <c r="B133" s="12"/>
      <c r="C133" s="12"/>
      <c r="D133" s="12" t="s">
        <v>176</v>
      </c>
      <c r="E133" s="12" t="str">
        <f t="shared" si="2"/>
        <v>Repeating</v>
      </c>
      <c r="F133" s="12">
        <f>COUNTIF('Raw Data'!$D$2:$D$251,D133)</f>
        <v>4</v>
      </c>
    </row>
    <row r="134" spans="1:6" x14ac:dyDescent="0.25">
      <c r="A134" s="12"/>
      <c r="B134" s="12"/>
      <c r="C134" s="12"/>
      <c r="D134" s="12" t="s">
        <v>264</v>
      </c>
      <c r="E134" s="12" t="str">
        <f t="shared" si="2"/>
        <v>Repeating</v>
      </c>
      <c r="F134" s="12">
        <f>COUNTIF('Raw Data'!$D$2:$D$251,D134)</f>
        <v>3</v>
      </c>
    </row>
    <row r="135" spans="1:6" x14ac:dyDescent="0.25">
      <c r="A135" s="12"/>
      <c r="B135" s="12"/>
      <c r="C135" s="12"/>
      <c r="D135" s="12" t="s">
        <v>64</v>
      </c>
      <c r="E135" s="12" t="str">
        <f t="shared" si="2"/>
        <v>Repeating</v>
      </c>
      <c r="F135" s="12">
        <f>COUNTIF('Raw Data'!$D$2:$D$251,D135)</f>
        <v>5</v>
      </c>
    </row>
    <row r="136" spans="1:6" x14ac:dyDescent="0.25">
      <c r="A136" s="12"/>
      <c r="B136" s="12"/>
      <c r="C136" s="12"/>
      <c r="D136" s="12" t="s">
        <v>251</v>
      </c>
      <c r="E136" s="12" t="str">
        <f t="shared" si="2"/>
        <v>Repeating</v>
      </c>
      <c r="F136" s="12">
        <f>COUNTIF('Raw Data'!$D$2:$D$251,D136)</f>
        <v>3</v>
      </c>
    </row>
    <row r="137" spans="1:6" x14ac:dyDescent="0.25">
      <c r="A137" s="12"/>
      <c r="B137" s="12"/>
      <c r="C137" s="12"/>
      <c r="D137" s="12" t="s">
        <v>239</v>
      </c>
      <c r="E137" s="12" t="str">
        <f t="shared" si="2"/>
        <v>Repeating</v>
      </c>
      <c r="F137" s="12">
        <f>COUNTIF('Raw Data'!$D$2:$D$251,D137)</f>
        <v>5</v>
      </c>
    </row>
    <row r="138" spans="1:6" x14ac:dyDescent="0.25">
      <c r="A138" s="12"/>
      <c r="B138" s="12"/>
      <c r="C138" s="12"/>
      <c r="D138" s="12" t="s">
        <v>159</v>
      </c>
      <c r="E138" s="12" t="str">
        <f t="shared" si="2"/>
        <v>Repeating</v>
      </c>
      <c r="F138" s="12">
        <f>COUNTIF('Raw Data'!$D$2:$D$251,D138)</f>
        <v>5</v>
      </c>
    </row>
    <row r="139" spans="1:6" x14ac:dyDescent="0.25">
      <c r="A139" s="12"/>
      <c r="B139" s="12"/>
      <c r="C139" s="12"/>
      <c r="D139" s="12" t="s">
        <v>155</v>
      </c>
      <c r="E139" s="12" t="str">
        <f t="shared" si="2"/>
        <v>Repeating</v>
      </c>
      <c r="F139" s="12">
        <f>COUNTIF('Raw Data'!$D$2:$D$251,D139)</f>
        <v>6</v>
      </c>
    </row>
    <row r="140" spans="1:6" x14ac:dyDescent="0.25">
      <c r="A140" s="12"/>
      <c r="B140" s="12"/>
      <c r="C140" s="12"/>
      <c r="D140" s="12" t="s">
        <v>143</v>
      </c>
      <c r="E140" s="12" t="str">
        <f t="shared" si="2"/>
        <v>Repeating</v>
      </c>
      <c r="F140" s="12">
        <f>COUNTIF('Raw Data'!$D$2:$D$251,D140)</f>
        <v>6</v>
      </c>
    </row>
    <row r="141" spans="1:6" x14ac:dyDescent="0.25">
      <c r="A141" s="12"/>
      <c r="B141" s="12"/>
      <c r="C141" s="12"/>
      <c r="D141" s="12" t="s">
        <v>73</v>
      </c>
      <c r="E141" s="12" t="str">
        <f t="shared" si="2"/>
        <v>Repeating</v>
      </c>
      <c r="F141" s="12">
        <f>COUNTIF('Raw Data'!$D$2:$D$251,D141)</f>
        <v>4</v>
      </c>
    </row>
    <row r="142" spans="1:6" x14ac:dyDescent="0.25">
      <c r="A142" s="12"/>
      <c r="B142" s="12"/>
      <c r="C142" s="12"/>
      <c r="D142" s="12" t="s">
        <v>98</v>
      </c>
      <c r="E142" s="12" t="str">
        <f t="shared" si="2"/>
        <v>Repeating</v>
      </c>
      <c r="F142" s="12">
        <f>COUNTIF('Raw Data'!$D$2:$D$251,D142)</f>
        <v>6</v>
      </c>
    </row>
    <row r="143" spans="1:6" x14ac:dyDescent="0.25">
      <c r="A143" s="12"/>
      <c r="B143" s="12"/>
      <c r="C143" s="12"/>
      <c r="D143" s="12" t="s">
        <v>257</v>
      </c>
      <c r="E143" s="12" t="str">
        <f t="shared" si="2"/>
        <v>Repeating</v>
      </c>
      <c r="F143" s="12">
        <f>COUNTIF('Raw Data'!$D$2:$D$251,D143)</f>
        <v>3</v>
      </c>
    </row>
    <row r="145" spans="1:7" x14ac:dyDescent="0.25">
      <c r="A145" s="39"/>
      <c r="B145" s="37"/>
      <c r="C145" s="37"/>
      <c r="D145" s="37"/>
      <c r="E145" s="37"/>
      <c r="F145" s="37"/>
      <c r="G145" s="37"/>
    </row>
    <row r="147" spans="1:7" ht="23.1" customHeight="1" x14ac:dyDescent="0.25">
      <c r="A147" s="36" t="s">
        <v>447</v>
      </c>
      <c r="B147" s="37"/>
      <c r="C147" s="37"/>
      <c r="D147" s="37"/>
    </row>
    <row r="148" spans="1:7" ht="30" customHeight="1" x14ac:dyDescent="0.25">
      <c r="A148" s="11" t="s">
        <v>448</v>
      </c>
      <c r="B148" s="11" t="s">
        <v>449</v>
      </c>
      <c r="C148" s="11" t="s">
        <v>450</v>
      </c>
      <c r="D148" s="11" t="s">
        <v>451</v>
      </c>
    </row>
    <row r="149" spans="1:7" x14ac:dyDescent="0.25">
      <c r="A149" s="12" t="str">
        <f>'Raw Data'!D2</f>
        <v>Paul Baker</v>
      </c>
      <c r="B149" s="12" t="str">
        <f>'Raw Data'!D102</f>
        <v>Sandra Phillips</v>
      </c>
      <c r="C149" s="12" t="str">
        <f t="shared" ref="C149:C180" si="3">IF(COUNTIF($B$149:$B$198,A149)&gt;0,A149,"")</f>
        <v>Paul Baker</v>
      </c>
      <c r="D149" s="12" t="str">
        <f t="shared" ref="D149:D180" si="4">IF(C149&lt;&gt;"","Match","No Match")</f>
        <v>Match</v>
      </c>
    </row>
    <row r="150" spans="1:7" x14ac:dyDescent="0.25">
      <c r="A150" s="12" t="str">
        <f>'Raw Data'!D3</f>
        <v>Joseph Jackson</v>
      </c>
      <c r="B150" s="12" t="str">
        <f>'Raw Data'!D103</f>
        <v>Carol Evans</v>
      </c>
      <c r="C150" s="12" t="str">
        <f t="shared" si="3"/>
        <v/>
      </c>
      <c r="D150" s="12" t="str">
        <f t="shared" si="4"/>
        <v>No Match</v>
      </c>
    </row>
    <row r="151" spans="1:7" x14ac:dyDescent="0.25">
      <c r="A151" s="12" t="str">
        <f>'Raw Data'!D4</f>
        <v>Kevin Scott</v>
      </c>
      <c r="B151" s="12" t="str">
        <f>'Raw Data'!D104</f>
        <v>Paul Baker</v>
      </c>
      <c r="C151" s="12" t="str">
        <f t="shared" si="3"/>
        <v/>
      </c>
      <c r="D151" s="12" t="str">
        <f t="shared" si="4"/>
        <v>No Match</v>
      </c>
    </row>
    <row r="152" spans="1:7" x14ac:dyDescent="0.25">
      <c r="A152" s="12" t="str">
        <f>'Raw Data'!D5</f>
        <v>Kathleen Bennett</v>
      </c>
      <c r="B152" s="12" t="str">
        <f>'Raw Data'!D105</f>
        <v>Lawrence Reed</v>
      </c>
      <c r="C152" s="12" t="str">
        <f t="shared" si="3"/>
        <v>Kathleen Bennett</v>
      </c>
      <c r="D152" s="12" t="str">
        <f t="shared" si="4"/>
        <v>Match</v>
      </c>
    </row>
    <row r="153" spans="1:7" x14ac:dyDescent="0.25">
      <c r="A153" s="12" t="str">
        <f>'Raw Data'!D6</f>
        <v>Michael Brown</v>
      </c>
      <c r="B153" s="12" t="str">
        <f>'Raw Data'!D106</f>
        <v>Steven Turner</v>
      </c>
      <c r="C153" s="12" t="str">
        <f t="shared" si="3"/>
        <v>Michael Brown</v>
      </c>
      <c r="D153" s="12" t="str">
        <f t="shared" si="4"/>
        <v>Match</v>
      </c>
    </row>
    <row r="154" spans="1:7" x14ac:dyDescent="0.25">
      <c r="A154" s="12" t="str">
        <f>'Raw Data'!D7</f>
        <v>Dorothy Nelson</v>
      </c>
      <c r="B154" s="12" t="str">
        <f>'Raw Data'!D107</f>
        <v>Emma Wilson</v>
      </c>
      <c r="C154" s="12" t="str">
        <f t="shared" si="3"/>
        <v>Dorothy Nelson</v>
      </c>
      <c r="D154" s="12" t="str">
        <f t="shared" si="4"/>
        <v>Match</v>
      </c>
    </row>
    <row r="155" spans="1:7" x14ac:dyDescent="0.25">
      <c r="A155" s="12" t="str">
        <f>'Raw Data'!D8</f>
        <v>Dorothy Nelson</v>
      </c>
      <c r="B155" s="12" t="str">
        <f>'Raw Data'!D108</f>
        <v>Jennifer Taylor</v>
      </c>
      <c r="C155" s="12" t="str">
        <f t="shared" si="3"/>
        <v>Dorothy Nelson</v>
      </c>
      <c r="D155" s="12" t="str">
        <f t="shared" si="4"/>
        <v>Match</v>
      </c>
    </row>
    <row r="156" spans="1:7" x14ac:dyDescent="0.25">
      <c r="A156" s="12" t="str">
        <f>'Raw Data'!D9</f>
        <v>Charles Allen</v>
      </c>
      <c r="B156" s="12" t="str">
        <f>'Raw Data'!D109</f>
        <v>Charles Allen</v>
      </c>
      <c r="C156" s="12" t="str">
        <f t="shared" si="3"/>
        <v>Charles Allen</v>
      </c>
      <c r="D156" s="12" t="str">
        <f t="shared" si="4"/>
        <v>Match</v>
      </c>
    </row>
    <row r="157" spans="1:7" x14ac:dyDescent="0.25">
      <c r="A157" s="12" t="str">
        <f>'Raw Data'!D10</f>
        <v>Robert Thomas</v>
      </c>
      <c r="B157" s="12" t="str">
        <f>'Raw Data'!D110</f>
        <v>Dorothy Nelson</v>
      </c>
      <c r="C157" s="12" t="str">
        <f t="shared" si="3"/>
        <v/>
      </c>
      <c r="D157" s="12" t="str">
        <f t="shared" si="4"/>
        <v>No Match</v>
      </c>
    </row>
    <row r="158" spans="1:7" x14ac:dyDescent="0.25">
      <c r="A158" s="12" t="str">
        <f>'Raw Data'!D11</f>
        <v>Karen Hill</v>
      </c>
      <c r="B158" s="12" t="str">
        <f>'Raw Data'!D111</f>
        <v>Kathleen Bennett</v>
      </c>
      <c r="C158" s="12" t="str">
        <f t="shared" si="3"/>
        <v>Karen Hill</v>
      </c>
      <c r="D158" s="12" t="str">
        <f t="shared" si="4"/>
        <v>Match</v>
      </c>
    </row>
    <row r="159" spans="1:7" x14ac:dyDescent="0.25">
      <c r="A159" s="12" t="str">
        <f>'Raw Data'!D12</f>
        <v>Susan Green</v>
      </c>
      <c r="B159" s="12" t="str">
        <f>'Raw Data'!D112</f>
        <v>Ruth Brooks</v>
      </c>
      <c r="C159" s="12" t="str">
        <f t="shared" si="3"/>
        <v/>
      </c>
      <c r="D159" s="12" t="str">
        <f t="shared" si="4"/>
        <v>No Match</v>
      </c>
    </row>
    <row r="160" spans="1:7" x14ac:dyDescent="0.25">
      <c r="A160" s="12" t="str">
        <f>'Raw Data'!D13</f>
        <v>Kathleen Bennett</v>
      </c>
      <c r="B160" s="12" t="str">
        <f>'Raw Data'!D113</f>
        <v>Karen Hill</v>
      </c>
      <c r="C160" s="12" t="str">
        <f t="shared" si="3"/>
        <v>Kathleen Bennett</v>
      </c>
      <c r="D160" s="12" t="str">
        <f t="shared" si="4"/>
        <v>Match</v>
      </c>
    </row>
    <row r="161" spans="1:4" x14ac:dyDescent="0.25">
      <c r="A161" s="12" t="str">
        <f>'Raw Data'!D14</f>
        <v>Peter Richardson</v>
      </c>
      <c r="B161" s="12" t="str">
        <f>'Raw Data'!D114</f>
        <v>Sarah Davis</v>
      </c>
      <c r="C161" s="12" t="str">
        <f t="shared" si="3"/>
        <v>Peter Richardson</v>
      </c>
      <c r="D161" s="12" t="str">
        <f t="shared" si="4"/>
        <v>Match</v>
      </c>
    </row>
    <row r="162" spans="1:4" x14ac:dyDescent="0.25">
      <c r="A162" s="12" t="str">
        <f>'Raw Data'!D15</f>
        <v>Dennis Gray</v>
      </c>
      <c r="B162" s="12" t="str">
        <f>'Raw Data'!D115</f>
        <v>Daniel King</v>
      </c>
      <c r="C162" s="12" t="str">
        <f t="shared" si="3"/>
        <v/>
      </c>
      <c r="D162" s="12" t="str">
        <f t="shared" si="4"/>
        <v>No Match</v>
      </c>
    </row>
    <row r="163" spans="1:4" x14ac:dyDescent="0.25">
      <c r="A163" s="12" t="str">
        <f>'Raw Data'!D16</f>
        <v>Michelle Rogers</v>
      </c>
      <c r="B163" s="12" t="str">
        <f>'Raw Data'!D116</f>
        <v>William White</v>
      </c>
      <c r="C163" s="12" t="str">
        <f t="shared" si="3"/>
        <v/>
      </c>
      <c r="D163" s="12" t="str">
        <f t="shared" si="4"/>
        <v>No Match</v>
      </c>
    </row>
    <row r="164" spans="1:4" x14ac:dyDescent="0.25">
      <c r="A164" s="12" t="str">
        <f>'Raw Data'!D17</f>
        <v>George Adams</v>
      </c>
      <c r="B164" s="12" t="str">
        <f>'Raw Data'!D117</f>
        <v>Peter Richardson</v>
      </c>
      <c r="C164" s="12" t="str">
        <f t="shared" si="3"/>
        <v>George Adams</v>
      </c>
      <c r="D164" s="12" t="str">
        <f t="shared" si="4"/>
        <v>Match</v>
      </c>
    </row>
    <row r="165" spans="1:4" x14ac:dyDescent="0.25">
      <c r="A165" s="12" t="str">
        <f>'Raw Data'!D18</f>
        <v>Mark Carter</v>
      </c>
      <c r="B165" s="12" t="str">
        <f>'Raw Data'!D118</f>
        <v>Sandra Phillips</v>
      </c>
      <c r="C165" s="12" t="str">
        <f t="shared" si="3"/>
        <v>Mark Carter</v>
      </c>
      <c r="D165" s="12" t="str">
        <f t="shared" si="4"/>
        <v>Match</v>
      </c>
    </row>
    <row r="166" spans="1:4" x14ac:dyDescent="0.25">
      <c r="A166" s="12" t="str">
        <f>'Raw Data'!D19</f>
        <v>Maria Garcia</v>
      </c>
      <c r="B166" s="12" t="str">
        <f>'Raw Data'!D119</f>
        <v>Linda Martin</v>
      </c>
      <c r="C166" s="12" t="str">
        <f t="shared" si="3"/>
        <v>Maria Garcia</v>
      </c>
      <c r="D166" s="12" t="str">
        <f t="shared" si="4"/>
        <v>Match</v>
      </c>
    </row>
    <row r="167" spans="1:4" x14ac:dyDescent="0.25">
      <c r="A167" s="12" t="str">
        <f>'Raw Data'!D20</f>
        <v>Mark Carter</v>
      </c>
      <c r="B167" s="12" t="str">
        <f>'Raw Data'!D120</f>
        <v>Patricia Moore</v>
      </c>
      <c r="C167" s="12" t="str">
        <f t="shared" si="3"/>
        <v>Mark Carter</v>
      </c>
      <c r="D167" s="12" t="str">
        <f t="shared" si="4"/>
        <v>Match</v>
      </c>
    </row>
    <row r="168" spans="1:4" x14ac:dyDescent="0.25">
      <c r="A168" s="12" t="str">
        <f>'Raw Data'!D21</f>
        <v>Virginia Sanders</v>
      </c>
      <c r="B168" s="12" t="str">
        <f>'Raw Data'!D121</f>
        <v>Richard Lee</v>
      </c>
      <c r="C168" s="12" t="str">
        <f t="shared" si="3"/>
        <v/>
      </c>
      <c r="D168" s="12" t="str">
        <f t="shared" si="4"/>
        <v>No Match</v>
      </c>
    </row>
    <row r="169" spans="1:4" x14ac:dyDescent="0.25">
      <c r="A169" s="12" t="str">
        <f>'Raw Data'!D22</f>
        <v>Barbara Young</v>
      </c>
      <c r="B169" s="12" t="str">
        <f>'Raw Data'!D122</f>
        <v>Michael Brown</v>
      </c>
      <c r="C169" s="12" t="str">
        <f t="shared" si="3"/>
        <v>Barbara Young</v>
      </c>
      <c r="D169" s="12" t="str">
        <f t="shared" si="4"/>
        <v>Match</v>
      </c>
    </row>
    <row r="170" spans="1:4" x14ac:dyDescent="0.25">
      <c r="A170" s="12" t="str">
        <f>'Raw Data'!D23</f>
        <v>Patricia Moore</v>
      </c>
      <c r="B170" s="12" t="str">
        <f>'Raw Data'!D123</f>
        <v>Maria Garcia</v>
      </c>
      <c r="C170" s="12" t="str">
        <f t="shared" si="3"/>
        <v>Patricia Moore</v>
      </c>
      <c r="D170" s="12" t="str">
        <f t="shared" si="4"/>
        <v>Match</v>
      </c>
    </row>
    <row r="171" spans="1:4" x14ac:dyDescent="0.25">
      <c r="A171" s="12" t="str">
        <f>'Raw Data'!D24</f>
        <v>Cynthia Price</v>
      </c>
      <c r="B171" s="12" t="str">
        <f>'Raw Data'!D124</f>
        <v>Sandra Phillips</v>
      </c>
      <c r="C171" s="12" t="str">
        <f t="shared" si="3"/>
        <v/>
      </c>
      <c r="D171" s="12" t="str">
        <f t="shared" si="4"/>
        <v>No Match</v>
      </c>
    </row>
    <row r="172" spans="1:4" x14ac:dyDescent="0.25">
      <c r="A172" s="12" t="str">
        <f>'Raw Data'!D25</f>
        <v>Mark Carter</v>
      </c>
      <c r="B172" s="12" t="str">
        <f>'Raw Data'!D125</f>
        <v>Elizabeth Hall</v>
      </c>
      <c r="C172" s="12" t="str">
        <f t="shared" si="3"/>
        <v>Mark Carter</v>
      </c>
      <c r="D172" s="12" t="str">
        <f t="shared" si="4"/>
        <v>Match</v>
      </c>
    </row>
    <row r="173" spans="1:4" x14ac:dyDescent="0.25">
      <c r="A173" s="12" t="str">
        <f>'Raw Data'!D26</f>
        <v>Nancy Collins</v>
      </c>
      <c r="B173" s="12" t="str">
        <f>'Raw Data'!D126</f>
        <v>Carol Evans</v>
      </c>
      <c r="C173" s="12" t="str">
        <f t="shared" si="3"/>
        <v/>
      </c>
      <c r="D173" s="12" t="str">
        <f t="shared" si="4"/>
        <v>No Match</v>
      </c>
    </row>
    <row r="174" spans="1:4" x14ac:dyDescent="0.25">
      <c r="A174" s="12" t="str">
        <f>'Raw Data'!D27</f>
        <v>Susan Green</v>
      </c>
      <c r="B174" s="12" t="str">
        <f>'Raw Data'!D127</f>
        <v>Daniel King</v>
      </c>
      <c r="C174" s="12" t="str">
        <f t="shared" si="3"/>
        <v/>
      </c>
      <c r="D174" s="12" t="str">
        <f t="shared" si="4"/>
        <v>No Match</v>
      </c>
    </row>
    <row r="175" spans="1:4" x14ac:dyDescent="0.25">
      <c r="A175" s="12" t="str">
        <f>'Raw Data'!D28</f>
        <v>Linda Martin</v>
      </c>
      <c r="B175" s="12" t="str">
        <f>'Raw Data'!D128</f>
        <v>George Adams</v>
      </c>
      <c r="C175" s="12" t="str">
        <f t="shared" si="3"/>
        <v>Linda Martin</v>
      </c>
      <c r="D175" s="12" t="str">
        <f t="shared" si="4"/>
        <v>Match</v>
      </c>
    </row>
    <row r="176" spans="1:4" x14ac:dyDescent="0.25">
      <c r="A176" s="12" t="str">
        <f>'Raw Data'!D29</f>
        <v>Patricia Moore</v>
      </c>
      <c r="B176" s="12" t="str">
        <f>'Raw Data'!D129</f>
        <v>Barbara Young</v>
      </c>
      <c r="C176" s="12" t="str">
        <f t="shared" si="3"/>
        <v>Patricia Moore</v>
      </c>
      <c r="D176" s="12" t="str">
        <f t="shared" si="4"/>
        <v>Match</v>
      </c>
    </row>
    <row r="177" spans="1:4" x14ac:dyDescent="0.25">
      <c r="A177" s="12" t="str">
        <f>'Raw Data'!D30</f>
        <v>Helen Roberts</v>
      </c>
      <c r="B177" s="12" t="str">
        <f>'Raw Data'!D130</f>
        <v>Raymond Ross</v>
      </c>
      <c r="C177" s="12" t="str">
        <f t="shared" si="3"/>
        <v/>
      </c>
      <c r="D177" s="12" t="str">
        <f t="shared" si="4"/>
        <v>No Match</v>
      </c>
    </row>
    <row r="178" spans="1:4" x14ac:dyDescent="0.25">
      <c r="A178" s="12" t="str">
        <f>'Raw Data'!D31</f>
        <v>Edward Mitchell</v>
      </c>
      <c r="B178" s="12" t="str">
        <f>'Raw Data'!D131</f>
        <v>Sharon Butler</v>
      </c>
      <c r="C178" s="12" t="str">
        <f t="shared" si="3"/>
        <v>Edward Mitchell</v>
      </c>
      <c r="D178" s="12" t="str">
        <f t="shared" si="4"/>
        <v>Match</v>
      </c>
    </row>
    <row r="179" spans="1:4" x14ac:dyDescent="0.25">
      <c r="A179" s="12" t="str">
        <f>'Raw Data'!D32</f>
        <v>Charles Allen</v>
      </c>
      <c r="B179" s="12" t="str">
        <f>'Raw Data'!D132</f>
        <v>Lawrence Reed</v>
      </c>
      <c r="C179" s="12" t="str">
        <f t="shared" si="3"/>
        <v>Charles Allen</v>
      </c>
      <c r="D179" s="12" t="str">
        <f t="shared" si="4"/>
        <v>Match</v>
      </c>
    </row>
    <row r="180" spans="1:4" x14ac:dyDescent="0.25">
      <c r="A180" s="12" t="str">
        <f>'Raw Data'!D33</f>
        <v>Lisa Anderson</v>
      </c>
      <c r="B180" s="12" t="str">
        <f>'Raw Data'!D133</f>
        <v>Lawrence Reed</v>
      </c>
      <c r="C180" s="12" t="str">
        <f t="shared" si="3"/>
        <v/>
      </c>
      <c r="D180" s="12" t="str">
        <f t="shared" si="4"/>
        <v>No Match</v>
      </c>
    </row>
    <row r="181" spans="1:4" x14ac:dyDescent="0.25">
      <c r="A181" s="12" t="str">
        <f>'Raw Data'!D34</f>
        <v>Emma Wilson</v>
      </c>
      <c r="B181" s="12" t="str">
        <f>'Raw Data'!D134</f>
        <v>Kathleen Bennett</v>
      </c>
      <c r="C181" s="12" t="str">
        <f t="shared" ref="C181:C198" si="5">IF(COUNTIF($B$149:$B$198,A181)&gt;0,A181,"")</f>
        <v>Emma Wilson</v>
      </c>
      <c r="D181" s="12" t="str">
        <f t="shared" ref="D181:D212" si="6">IF(C181&lt;&gt;"","Match","No Match")</f>
        <v>Match</v>
      </c>
    </row>
    <row r="182" spans="1:4" x14ac:dyDescent="0.25">
      <c r="A182" s="12" t="str">
        <f>'Raw Data'!D35</f>
        <v>Kevin Scott</v>
      </c>
      <c r="B182" s="12" t="str">
        <f>'Raw Data'!D135</f>
        <v>Sarah Davis</v>
      </c>
      <c r="C182" s="12" t="str">
        <f t="shared" si="5"/>
        <v/>
      </c>
      <c r="D182" s="12" t="str">
        <f t="shared" si="6"/>
        <v>No Match</v>
      </c>
    </row>
    <row r="183" spans="1:4" x14ac:dyDescent="0.25">
      <c r="A183" s="12" t="str">
        <f>'Raw Data'!D36</f>
        <v>Patricia Moore</v>
      </c>
      <c r="B183" s="12" t="str">
        <f>'Raw Data'!D136</f>
        <v>Betty Campbell</v>
      </c>
      <c r="C183" s="12" t="str">
        <f t="shared" si="5"/>
        <v>Patricia Moore</v>
      </c>
      <c r="D183" s="12" t="str">
        <f t="shared" si="6"/>
        <v>Match</v>
      </c>
    </row>
    <row r="184" spans="1:4" x14ac:dyDescent="0.25">
      <c r="A184" s="12" t="str">
        <f>'Raw Data'!D37</f>
        <v>Lisa Anderson</v>
      </c>
      <c r="B184" s="12" t="str">
        <f>'Raw Data'!D137</f>
        <v>Raymond Ross</v>
      </c>
      <c r="C184" s="12" t="str">
        <f t="shared" si="5"/>
        <v/>
      </c>
      <c r="D184" s="12" t="str">
        <f t="shared" si="6"/>
        <v>No Match</v>
      </c>
    </row>
    <row r="185" spans="1:4" x14ac:dyDescent="0.25">
      <c r="A185" s="12" t="str">
        <f>'Raw Data'!D38</f>
        <v>Steven Turner</v>
      </c>
      <c r="B185" s="12" t="str">
        <f>'Raw Data'!D138</f>
        <v>Paul Baker</v>
      </c>
      <c r="C185" s="12" t="str">
        <f t="shared" si="5"/>
        <v>Steven Turner</v>
      </c>
      <c r="D185" s="12" t="str">
        <f t="shared" si="6"/>
        <v>Match</v>
      </c>
    </row>
    <row r="186" spans="1:4" x14ac:dyDescent="0.25">
      <c r="A186" s="12" t="str">
        <f>'Raw Data'!D39</f>
        <v>Jennifer Taylor</v>
      </c>
      <c r="B186" s="12" t="str">
        <f>'Raw Data'!D139</f>
        <v>Karen Hill</v>
      </c>
      <c r="C186" s="12" t="str">
        <f t="shared" si="5"/>
        <v>Jennifer Taylor</v>
      </c>
      <c r="D186" s="12" t="str">
        <f t="shared" si="6"/>
        <v>Match</v>
      </c>
    </row>
    <row r="187" spans="1:4" x14ac:dyDescent="0.25">
      <c r="A187" s="12" t="str">
        <f>'Raw Data'!D40</f>
        <v>Harry Morgan</v>
      </c>
      <c r="B187" s="12" t="str">
        <f>'Raw Data'!D140</f>
        <v>Patricia Moore</v>
      </c>
      <c r="C187" s="12" t="str">
        <f t="shared" si="5"/>
        <v/>
      </c>
      <c r="D187" s="12" t="str">
        <f t="shared" si="6"/>
        <v>No Match</v>
      </c>
    </row>
    <row r="188" spans="1:4" x14ac:dyDescent="0.25">
      <c r="A188" s="12" t="str">
        <f>'Raw Data'!D41</f>
        <v>Daniel King</v>
      </c>
      <c r="B188" s="12" t="str">
        <f>'Raw Data'!D141</f>
        <v>Maria Garcia</v>
      </c>
      <c r="C188" s="12" t="str">
        <f t="shared" si="5"/>
        <v>Daniel King</v>
      </c>
      <c r="D188" s="12" t="str">
        <f t="shared" si="6"/>
        <v>Match</v>
      </c>
    </row>
    <row r="189" spans="1:4" x14ac:dyDescent="0.25">
      <c r="A189" s="12" t="str">
        <f>'Raw Data'!D42</f>
        <v>Sharon Butler</v>
      </c>
      <c r="B189" s="12" t="str">
        <f>'Raw Data'!D142</f>
        <v>Margaret Wright</v>
      </c>
      <c r="C189" s="12" t="str">
        <f t="shared" si="5"/>
        <v>Sharon Butler</v>
      </c>
      <c r="D189" s="12" t="str">
        <f t="shared" si="6"/>
        <v>Match</v>
      </c>
    </row>
    <row r="190" spans="1:4" x14ac:dyDescent="0.25">
      <c r="A190" s="12" t="str">
        <f>'Raw Data'!D43</f>
        <v>Charles Allen</v>
      </c>
      <c r="B190" s="12" t="str">
        <f>'Raw Data'!D143</f>
        <v>Peter Richardson</v>
      </c>
      <c r="C190" s="12" t="str">
        <f t="shared" si="5"/>
        <v>Charles Allen</v>
      </c>
      <c r="D190" s="12" t="str">
        <f t="shared" si="6"/>
        <v>Match</v>
      </c>
    </row>
    <row r="191" spans="1:4" x14ac:dyDescent="0.25">
      <c r="A191" s="12" t="str">
        <f>'Raw Data'!D44</f>
        <v>Sarah Davis</v>
      </c>
      <c r="B191" s="12" t="str">
        <f>'Raw Data'!D144</f>
        <v>Paul Baker</v>
      </c>
      <c r="C191" s="12" t="str">
        <f t="shared" si="5"/>
        <v>Sarah Davis</v>
      </c>
      <c r="D191" s="12" t="str">
        <f t="shared" si="6"/>
        <v>Match</v>
      </c>
    </row>
    <row r="192" spans="1:4" x14ac:dyDescent="0.25">
      <c r="A192" s="12" t="str">
        <f>'Raw Data'!D45</f>
        <v>Joseph Jackson</v>
      </c>
      <c r="B192" s="12" t="str">
        <f>'Raw Data'!D145</f>
        <v>Patricia Moore</v>
      </c>
      <c r="C192" s="12" t="str">
        <f t="shared" si="5"/>
        <v/>
      </c>
      <c r="D192" s="12" t="str">
        <f t="shared" si="6"/>
        <v>No Match</v>
      </c>
    </row>
    <row r="193" spans="1:4" x14ac:dyDescent="0.25">
      <c r="A193" s="12" t="str">
        <f>'Raw Data'!D46</f>
        <v>Betty Campbell</v>
      </c>
      <c r="B193" s="12" t="str">
        <f>'Raw Data'!D146</f>
        <v>Sarah Davis</v>
      </c>
      <c r="C193" s="12" t="str">
        <f t="shared" si="5"/>
        <v>Betty Campbell</v>
      </c>
      <c r="D193" s="12" t="str">
        <f t="shared" si="6"/>
        <v>Match</v>
      </c>
    </row>
    <row r="194" spans="1:4" x14ac:dyDescent="0.25">
      <c r="A194" s="12" t="str">
        <f>'Raw Data'!D47</f>
        <v>Michael Brown</v>
      </c>
      <c r="B194" s="12" t="str">
        <f>'Raw Data'!D147</f>
        <v>George Adams</v>
      </c>
      <c r="C194" s="12" t="str">
        <f t="shared" si="5"/>
        <v>Michael Brown</v>
      </c>
      <c r="D194" s="12" t="str">
        <f t="shared" si="6"/>
        <v>Match</v>
      </c>
    </row>
    <row r="195" spans="1:4" x14ac:dyDescent="0.25">
      <c r="A195" s="12" t="str">
        <f>'Raw Data'!D48</f>
        <v>Julie Foster</v>
      </c>
      <c r="B195" s="12" t="str">
        <f>'Raw Data'!D148</f>
        <v>Sandra Phillips</v>
      </c>
      <c r="C195" s="12" t="str">
        <f t="shared" si="5"/>
        <v/>
      </c>
      <c r="D195" s="12" t="str">
        <f t="shared" si="6"/>
        <v>No Match</v>
      </c>
    </row>
    <row r="196" spans="1:4" x14ac:dyDescent="0.25">
      <c r="A196" s="12" t="str">
        <f>'Raw Data'!D49</f>
        <v>Lisa Anderson</v>
      </c>
      <c r="B196" s="12" t="str">
        <f>'Raw Data'!D149</f>
        <v>Mark Carter</v>
      </c>
      <c r="C196" s="12" t="str">
        <f t="shared" si="5"/>
        <v/>
      </c>
      <c r="D196" s="12" t="str">
        <f t="shared" si="6"/>
        <v>No Match</v>
      </c>
    </row>
    <row r="197" spans="1:4" x14ac:dyDescent="0.25">
      <c r="A197" s="12" t="str">
        <f>'Raw Data'!D50</f>
        <v>Patricia Moore</v>
      </c>
      <c r="B197" s="12" t="str">
        <f>'Raw Data'!D150</f>
        <v>Edward Mitchell</v>
      </c>
      <c r="C197" s="12" t="str">
        <f t="shared" si="5"/>
        <v>Patricia Moore</v>
      </c>
      <c r="D197" s="12" t="str">
        <f t="shared" si="6"/>
        <v>Match</v>
      </c>
    </row>
    <row r="198" spans="1:4" x14ac:dyDescent="0.25">
      <c r="A198" s="12" t="str">
        <f>'Raw Data'!D51</f>
        <v>Paul Baker</v>
      </c>
      <c r="B198" s="12" t="str">
        <f>'Raw Data'!D151</f>
        <v>Frank Torres</v>
      </c>
      <c r="C198" s="12" t="str">
        <f t="shared" si="5"/>
        <v>Paul Baker</v>
      </c>
      <c r="D198" s="12" t="str">
        <f t="shared" si="6"/>
        <v>Match</v>
      </c>
    </row>
    <row r="201" spans="1:4" ht="23.1" customHeight="1" x14ac:dyDescent="0.25">
      <c r="A201" s="36" t="s">
        <v>452</v>
      </c>
      <c r="B201" s="37"/>
      <c r="C201" s="37"/>
      <c r="D201" s="37"/>
    </row>
    <row r="202" spans="1:4" x14ac:dyDescent="0.25">
      <c r="A202" s="11" t="s">
        <v>445</v>
      </c>
      <c r="B202" s="11" t="s">
        <v>453</v>
      </c>
      <c r="C202" s="11" t="s">
        <v>454</v>
      </c>
      <c r="D202" s="11" t="s">
        <v>455</v>
      </c>
    </row>
    <row r="203" spans="1:4" x14ac:dyDescent="0.25">
      <c r="A203" s="12" t="s">
        <v>330</v>
      </c>
      <c r="B203" s="12" t="str">
        <f t="shared" ref="B203:B234" si="7">LEFT(A203,FIND(" ",A203&amp;" ")-1)</f>
        <v>Arthur</v>
      </c>
      <c r="C203" s="12" t="str">
        <f t="shared" ref="C203:C234" si="8">TRIM(MID(A203,FIND(" ",A203&amp;" ")+1,99))</f>
        <v>Edwards</v>
      </c>
      <c r="D203" s="12" t="str">
        <f t="shared" ref="D203:D234" si="9">UPPER(LEFT(B203,1)&amp;LEFT(C203,1))</f>
        <v>AE</v>
      </c>
    </row>
    <row r="204" spans="1:4" x14ac:dyDescent="0.25">
      <c r="A204" s="12" t="s">
        <v>101</v>
      </c>
      <c r="B204" s="12" t="str">
        <f t="shared" si="7"/>
        <v>Barbara</v>
      </c>
      <c r="C204" s="12" t="str">
        <f t="shared" si="8"/>
        <v>Young</v>
      </c>
      <c r="D204" s="12" t="str">
        <f t="shared" si="9"/>
        <v>BY</v>
      </c>
    </row>
    <row r="205" spans="1:4" x14ac:dyDescent="0.25">
      <c r="A205" s="12" t="s">
        <v>163</v>
      </c>
      <c r="B205" s="12" t="str">
        <f t="shared" si="7"/>
        <v>Betty</v>
      </c>
      <c r="C205" s="12" t="str">
        <f t="shared" si="8"/>
        <v>Campbell</v>
      </c>
      <c r="D205" s="12" t="str">
        <f t="shared" si="9"/>
        <v>BC</v>
      </c>
    </row>
    <row r="206" spans="1:4" x14ac:dyDescent="0.25">
      <c r="A206" s="12" t="s">
        <v>236</v>
      </c>
      <c r="B206" s="12" t="str">
        <f t="shared" si="7"/>
        <v>Carol</v>
      </c>
      <c r="C206" s="12" t="str">
        <f t="shared" si="8"/>
        <v>Evans</v>
      </c>
      <c r="D206" s="12" t="str">
        <f t="shared" si="9"/>
        <v>CE</v>
      </c>
    </row>
    <row r="207" spans="1:4" x14ac:dyDescent="0.25">
      <c r="A207" s="12" t="s">
        <v>60</v>
      </c>
      <c r="B207" s="12" t="str">
        <f t="shared" si="7"/>
        <v>Charles</v>
      </c>
      <c r="C207" s="12" t="str">
        <f t="shared" si="8"/>
        <v>Allen</v>
      </c>
      <c r="D207" s="12" t="str">
        <f t="shared" si="9"/>
        <v>CA</v>
      </c>
    </row>
    <row r="208" spans="1:4" x14ac:dyDescent="0.25">
      <c r="A208" s="12" t="s">
        <v>107</v>
      </c>
      <c r="B208" s="12" t="str">
        <f t="shared" si="7"/>
        <v>Cynthia</v>
      </c>
      <c r="C208" s="12" t="str">
        <f t="shared" si="8"/>
        <v>Price</v>
      </c>
      <c r="D208" s="12" t="str">
        <f t="shared" si="9"/>
        <v>CP</v>
      </c>
    </row>
    <row r="209" spans="1:4" x14ac:dyDescent="0.25">
      <c r="A209" s="12" t="s">
        <v>152</v>
      </c>
      <c r="B209" s="12" t="str">
        <f t="shared" si="7"/>
        <v>Daniel</v>
      </c>
      <c r="C209" s="12" t="str">
        <f t="shared" si="8"/>
        <v>King</v>
      </c>
      <c r="D209" s="12" t="str">
        <f t="shared" si="9"/>
        <v>DK</v>
      </c>
    </row>
    <row r="210" spans="1:4" x14ac:dyDescent="0.25">
      <c r="A210" s="12" t="s">
        <v>187</v>
      </c>
      <c r="B210" s="12" t="str">
        <f t="shared" si="7"/>
        <v>David</v>
      </c>
      <c r="C210" s="12" t="str">
        <f t="shared" si="8"/>
        <v>Martinez</v>
      </c>
      <c r="D210" s="12" t="str">
        <f t="shared" si="9"/>
        <v>DM</v>
      </c>
    </row>
    <row r="211" spans="1:4" x14ac:dyDescent="0.25">
      <c r="A211" s="12" t="s">
        <v>80</v>
      </c>
      <c r="B211" s="12" t="str">
        <f t="shared" si="7"/>
        <v>Dennis</v>
      </c>
      <c r="C211" s="12" t="str">
        <f t="shared" si="8"/>
        <v>Gray</v>
      </c>
      <c r="D211" s="12" t="str">
        <f t="shared" si="9"/>
        <v>DG</v>
      </c>
    </row>
    <row r="212" spans="1:4" x14ac:dyDescent="0.25">
      <c r="A212" s="12" t="s">
        <v>53</v>
      </c>
      <c r="B212" s="12" t="str">
        <f t="shared" si="7"/>
        <v>Dorothy</v>
      </c>
      <c r="C212" s="12" t="str">
        <f t="shared" si="8"/>
        <v>Nelson</v>
      </c>
      <c r="D212" s="12" t="str">
        <f t="shared" si="9"/>
        <v>DN</v>
      </c>
    </row>
    <row r="213" spans="1:4" x14ac:dyDescent="0.25">
      <c r="A213" s="12" t="s">
        <v>298</v>
      </c>
      <c r="B213" s="12" t="str">
        <f t="shared" si="7"/>
        <v>Douglas</v>
      </c>
      <c r="C213" s="12" t="str">
        <f t="shared" si="8"/>
        <v>Watson</v>
      </c>
      <c r="D213" s="12" t="str">
        <f t="shared" si="9"/>
        <v>DW</v>
      </c>
    </row>
    <row r="214" spans="1:4" x14ac:dyDescent="0.25">
      <c r="A214" s="12" t="s">
        <v>128</v>
      </c>
      <c r="B214" s="12" t="str">
        <f t="shared" si="7"/>
        <v>Edward</v>
      </c>
      <c r="C214" s="12" t="str">
        <f t="shared" si="8"/>
        <v>Mitchell</v>
      </c>
      <c r="D214" s="12" t="str">
        <f t="shared" si="9"/>
        <v>EM</v>
      </c>
    </row>
    <row r="215" spans="1:4" x14ac:dyDescent="0.25">
      <c r="A215" s="12" t="s">
        <v>216</v>
      </c>
      <c r="B215" s="12" t="str">
        <f t="shared" si="7"/>
        <v>Elizabeth</v>
      </c>
      <c r="C215" s="12" t="str">
        <f t="shared" si="8"/>
        <v>Hall</v>
      </c>
      <c r="D215" s="12" t="str">
        <f t="shared" si="9"/>
        <v>EH</v>
      </c>
    </row>
    <row r="216" spans="1:4" x14ac:dyDescent="0.25">
      <c r="A216" s="12" t="s">
        <v>137</v>
      </c>
      <c r="B216" s="12" t="str">
        <f t="shared" si="7"/>
        <v>Emma</v>
      </c>
      <c r="C216" s="12" t="str">
        <f t="shared" si="8"/>
        <v>Wilson</v>
      </c>
      <c r="D216" s="12" t="str">
        <f t="shared" si="9"/>
        <v>EW</v>
      </c>
    </row>
    <row r="217" spans="1:4" x14ac:dyDescent="0.25">
      <c r="A217" s="12" t="s">
        <v>197</v>
      </c>
      <c r="B217" s="12" t="str">
        <f t="shared" si="7"/>
        <v>Frank</v>
      </c>
      <c r="C217" s="12" t="str">
        <f t="shared" si="8"/>
        <v>Torres</v>
      </c>
      <c r="D217" s="12" t="str">
        <f t="shared" si="9"/>
        <v>FT</v>
      </c>
    </row>
    <row r="218" spans="1:4" x14ac:dyDescent="0.25">
      <c r="A218" s="12" t="s">
        <v>88</v>
      </c>
      <c r="B218" s="12" t="str">
        <f t="shared" si="7"/>
        <v>George</v>
      </c>
      <c r="C218" s="12" t="str">
        <f t="shared" si="8"/>
        <v>Adams</v>
      </c>
      <c r="D218" s="12" t="str">
        <f t="shared" si="9"/>
        <v>GA</v>
      </c>
    </row>
    <row r="219" spans="1:4" x14ac:dyDescent="0.25">
      <c r="A219" s="12" t="s">
        <v>201</v>
      </c>
      <c r="B219" s="12" t="str">
        <f t="shared" si="7"/>
        <v>Gerald</v>
      </c>
      <c r="C219" s="12" t="str">
        <f t="shared" si="8"/>
        <v>Murphy</v>
      </c>
      <c r="D219" s="12" t="str">
        <f t="shared" si="9"/>
        <v>GM</v>
      </c>
    </row>
    <row r="220" spans="1:4" x14ac:dyDescent="0.25">
      <c r="A220" s="12" t="s">
        <v>149</v>
      </c>
      <c r="B220" s="12" t="str">
        <f t="shared" si="7"/>
        <v>Harry</v>
      </c>
      <c r="C220" s="12" t="str">
        <f t="shared" si="8"/>
        <v>Morgan</v>
      </c>
      <c r="D220" s="12" t="str">
        <f t="shared" si="9"/>
        <v>HM</v>
      </c>
    </row>
    <row r="221" spans="1:4" x14ac:dyDescent="0.25">
      <c r="A221" s="12" t="s">
        <v>125</v>
      </c>
      <c r="B221" s="12" t="str">
        <f t="shared" si="7"/>
        <v>Helen</v>
      </c>
      <c r="C221" s="12" t="str">
        <f t="shared" si="8"/>
        <v>Roberts</v>
      </c>
      <c r="D221" s="12" t="str">
        <f t="shared" si="9"/>
        <v>HR</v>
      </c>
    </row>
    <row r="222" spans="1:4" x14ac:dyDescent="0.25">
      <c r="A222" s="12" t="s">
        <v>309</v>
      </c>
      <c r="B222" s="12" t="str">
        <f t="shared" si="7"/>
        <v>James</v>
      </c>
      <c r="C222" s="12" t="str">
        <f t="shared" si="8"/>
        <v>Johnson</v>
      </c>
      <c r="D222" s="12" t="str">
        <f t="shared" si="9"/>
        <v>JJ</v>
      </c>
    </row>
    <row r="223" spans="1:4" x14ac:dyDescent="0.25">
      <c r="A223" s="12" t="s">
        <v>146</v>
      </c>
      <c r="B223" s="12" t="str">
        <f t="shared" si="7"/>
        <v>Jennifer</v>
      </c>
      <c r="C223" s="12" t="str">
        <f t="shared" si="8"/>
        <v>Taylor</v>
      </c>
      <c r="D223" s="12" t="str">
        <f t="shared" si="9"/>
        <v>JT</v>
      </c>
    </row>
    <row r="224" spans="1:4" x14ac:dyDescent="0.25">
      <c r="A224" s="12" t="s">
        <v>391</v>
      </c>
      <c r="B224" s="12" t="str">
        <f t="shared" si="7"/>
        <v>John</v>
      </c>
      <c r="C224" s="12" t="str">
        <f t="shared" si="8"/>
        <v>Smith</v>
      </c>
      <c r="D224" s="12" t="str">
        <f t="shared" si="9"/>
        <v>JS</v>
      </c>
    </row>
    <row r="225" spans="1:4" x14ac:dyDescent="0.25">
      <c r="A225" s="12" t="s">
        <v>29</v>
      </c>
      <c r="B225" s="12" t="str">
        <f t="shared" si="7"/>
        <v>Joseph</v>
      </c>
      <c r="C225" s="12" t="str">
        <f t="shared" si="8"/>
        <v>Jackson</v>
      </c>
      <c r="D225" s="12" t="str">
        <f t="shared" si="9"/>
        <v>JJ</v>
      </c>
    </row>
    <row r="226" spans="1:4" x14ac:dyDescent="0.25">
      <c r="A226" s="12" t="s">
        <v>167</v>
      </c>
      <c r="B226" s="12" t="str">
        <f t="shared" si="7"/>
        <v>Julie</v>
      </c>
      <c r="C226" s="12" t="str">
        <f t="shared" si="8"/>
        <v>Foster</v>
      </c>
      <c r="D226" s="12" t="str">
        <f t="shared" si="9"/>
        <v>JF</v>
      </c>
    </row>
    <row r="227" spans="1:4" x14ac:dyDescent="0.25">
      <c r="A227" s="12" t="s">
        <v>70</v>
      </c>
      <c r="B227" s="12" t="str">
        <f t="shared" si="7"/>
        <v>Karen</v>
      </c>
      <c r="C227" s="12" t="str">
        <f t="shared" si="8"/>
        <v>Hill</v>
      </c>
      <c r="D227" s="12" t="str">
        <f t="shared" si="9"/>
        <v>KH</v>
      </c>
    </row>
    <row r="228" spans="1:4" x14ac:dyDescent="0.25">
      <c r="A228" s="12" t="s">
        <v>43</v>
      </c>
      <c r="B228" s="12" t="str">
        <f t="shared" si="7"/>
        <v>Kathleen</v>
      </c>
      <c r="C228" s="12" t="str">
        <f t="shared" si="8"/>
        <v>Bennett</v>
      </c>
      <c r="D228" s="12" t="str">
        <f t="shared" si="9"/>
        <v>KB</v>
      </c>
    </row>
    <row r="229" spans="1:4" x14ac:dyDescent="0.25">
      <c r="A229" s="12" t="s">
        <v>34</v>
      </c>
      <c r="B229" s="12" t="str">
        <f t="shared" si="7"/>
        <v>Kevin</v>
      </c>
      <c r="C229" s="12" t="str">
        <f t="shared" si="8"/>
        <v>Scott</v>
      </c>
      <c r="D229" s="12" t="str">
        <f t="shared" si="9"/>
        <v>KS</v>
      </c>
    </row>
    <row r="230" spans="1:4" x14ac:dyDescent="0.25">
      <c r="A230" s="12" t="s">
        <v>231</v>
      </c>
      <c r="B230" s="12" t="str">
        <f t="shared" si="7"/>
        <v>Lawrence</v>
      </c>
      <c r="C230" s="12" t="str">
        <f t="shared" si="8"/>
        <v>Reed</v>
      </c>
      <c r="D230" s="12" t="str">
        <f t="shared" si="9"/>
        <v>LR</v>
      </c>
    </row>
    <row r="231" spans="1:4" x14ac:dyDescent="0.25">
      <c r="A231" s="12" t="s">
        <v>117</v>
      </c>
      <c r="B231" s="12" t="str">
        <f t="shared" si="7"/>
        <v>Linda</v>
      </c>
      <c r="C231" s="12" t="str">
        <f t="shared" si="8"/>
        <v>Martin</v>
      </c>
      <c r="D231" s="12" t="str">
        <f t="shared" si="9"/>
        <v>LM</v>
      </c>
    </row>
    <row r="232" spans="1:4" x14ac:dyDescent="0.25">
      <c r="A232" s="12" t="s">
        <v>134</v>
      </c>
      <c r="B232" s="12" t="str">
        <f t="shared" si="7"/>
        <v>Lisa</v>
      </c>
      <c r="C232" s="12" t="str">
        <f t="shared" si="8"/>
        <v>Anderson</v>
      </c>
      <c r="D232" s="12" t="str">
        <f t="shared" si="9"/>
        <v>LA</v>
      </c>
    </row>
    <row r="233" spans="1:4" x14ac:dyDescent="0.25">
      <c r="A233" s="12" t="s">
        <v>190</v>
      </c>
      <c r="B233" s="12" t="str">
        <f t="shared" si="7"/>
        <v>Margaret</v>
      </c>
      <c r="C233" s="12" t="str">
        <f t="shared" si="8"/>
        <v>Wright</v>
      </c>
      <c r="D233" s="12" t="str">
        <f t="shared" si="9"/>
        <v>MW</v>
      </c>
    </row>
    <row r="234" spans="1:4" x14ac:dyDescent="0.25">
      <c r="A234" s="12" t="s">
        <v>94</v>
      </c>
      <c r="B234" s="12" t="str">
        <f t="shared" si="7"/>
        <v>Maria</v>
      </c>
      <c r="C234" s="12" t="str">
        <f t="shared" si="8"/>
        <v>Garcia</v>
      </c>
      <c r="D234" s="12" t="str">
        <f t="shared" si="9"/>
        <v>MG</v>
      </c>
    </row>
    <row r="235" spans="1:4" x14ac:dyDescent="0.25">
      <c r="A235" s="12" t="s">
        <v>91</v>
      </c>
      <c r="B235" s="12" t="str">
        <f t="shared" ref="B235:B266" si="10">LEFT(A235,FIND(" ",A235&amp;" ")-1)</f>
        <v>Mark</v>
      </c>
      <c r="C235" s="12" t="str">
        <f t="shared" ref="C235:C252" si="11">TRIM(MID(A235,FIND(" ",A235&amp;" ")+1,99))</f>
        <v>Carter</v>
      </c>
      <c r="D235" s="12" t="str">
        <f t="shared" ref="D235:D266" si="12">UPPER(LEFT(B235,1)&amp;LEFT(C235,1))</f>
        <v>MC</v>
      </c>
    </row>
    <row r="236" spans="1:4" x14ac:dyDescent="0.25">
      <c r="A236" s="12" t="s">
        <v>47</v>
      </c>
      <c r="B236" s="12" t="str">
        <f t="shared" si="10"/>
        <v>Michael</v>
      </c>
      <c r="C236" s="12" t="str">
        <f t="shared" si="11"/>
        <v>Brown</v>
      </c>
      <c r="D236" s="12" t="str">
        <f t="shared" si="12"/>
        <v>MB</v>
      </c>
    </row>
    <row r="237" spans="1:4" x14ac:dyDescent="0.25">
      <c r="A237" s="12" t="s">
        <v>83</v>
      </c>
      <c r="B237" s="12" t="str">
        <f t="shared" si="10"/>
        <v>Michelle</v>
      </c>
      <c r="C237" s="12" t="str">
        <f t="shared" si="11"/>
        <v>Rogers</v>
      </c>
      <c r="D237" s="12" t="str">
        <f t="shared" si="12"/>
        <v>MR</v>
      </c>
    </row>
    <row r="238" spans="1:4" x14ac:dyDescent="0.25">
      <c r="A238" s="12" t="s">
        <v>113</v>
      </c>
      <c r="B238" s="12" t="str">
        <f t="shared" si="10"/>
        <v>Nancy</v>
      </c>
      <c r="C238" s="12" t="str">
        <f t="shared" si="11"/>
        <v>Collins</v>
      </c>
      <c r="D238" s="12" t="str">
        <f t="shared" si="12"/>
        <v>NC</v>
      </c>
    </row>
    <row r="239" spans="1:4" x14ac:dyDescent="0.25">
      <c r="A239" s="12" t="s">
        <v>104</v>
      </c>
      <c r="B239" s="12" t="str">
        <f t="shared" si="10"/>
        <v>Patricia</v>
      </c>
      <c r="C239" s="12" t="str">
        <f t="shared" si="11"/>
        <v>Moore</v>
      </c>
      <c r="D239" s="12" t="str">
        <f t="shared" si="12"/>
        <v>PM</v>
      </c>
    </row>
    <row r="240" spans="1:4" x14ac:dyDescent="0.25">
      <c r="A240" s="12" t="s">
        <v>20</v>
      </c>
      <c r="B240" s="12" t="str">
        <f t="shared" si="10"/>
        <v>Paul</v>
      </c>
      <c r="C240" s="12" t="str">
        <f t="shared" si="11"/>
        <v>Baker</v>
      </c>
      <c r="D240" s="12" t="str">
        <f t="shared" si="12"/>
        <v>PB</v>
      </c>
    </row>
    <row r="241" spans="1:4" x14ac:dyDescent="0.25">
      <c r="A241" s="12" t="s">
        <v>77</v>
      </c>
      <c r="B241" s="12" t="str">
        <f t="shared" si="10"/>
        <v>Peter</v>
      </c>
      <c r="C241" s="12" t="str">
        <f t="shared" si="11"/>
        <v>Richardson</v>
      </c>
      <c r="D241" s="12" t="str">
        <f t="shared" si="12"/>
        <v>PR</v>
      </c>
    </row>
    <row r="242" spans="1:4" x14ac:dyDescent="0.25">
      <c r="A242" s="12" t="s">
        <v>176</v>
      </c>
      <c r="B242" s="12" t="str">
        <f t="shared" si="10"/>
        <v>Raymond</v>
      </c>
      <c r="C242" s="12" t="str">
        <f t="shared" si="11"/>
        <v>Ross</v>
      </c>
      <c r="D242" s="12" t="str">
        <f t="shared" si="12"/>
        <v>RR</v>
      </c>
    </row>
    <row r="243" spans="1:4" x14ac:dyDescent="0.25">
      <c r="A243" s="12" t="s">
        <v>264</v>
      </c>
      <c r="B243" s="12" t="str">
        <f t="shared" si="10"/>
        <v>Richard</v>
      </c>
      <c r="C243" s="12" t="str">
        <f t="shared" si="11"/>
        <v>Lee</v>
      </c>
      <c r="D243" s="12" t="str">
        <f t="shared" si="12"/>
        <v>RL</v>
      </c>
    </row>
    <row r="244" spans="1:4" x14ac:dyDescent="0.25">
      <c r="A244" s="12" t="s">
        <v>64</v>
      </c>
      <c r="B244" s="12" t="str">
        <f t="shared" si="10"/>
        <v>Robert</v>
      </c>
      <c r="C244" s="12" t="str">
        <f t="shared" si="11"/>
        <v>Thomas</v>
      </c>
      <c r="D244" s="12" t="str">
        <f t="shared" si="12"/>
        <v>RT</v>
      </c>
    </row>
    <row r="245" spans="1:4" x14ac:dyDescent="0.25">
      <c r="A245" s="12" t="s">
        <v>251</v>
      </c>
      <c r="B245" s="12" t="str">
        <f t="shared" si="10"/>
        <v>Ruth</v>
      </c>
      <c r="C245" s="12" t="str">
        <f t="shared" si="11"/>
        <v>Brooks</v>
      </c>
      <c r="D245" s="12" t="str">
        <f t="shared" si="12"/>
        <v>RB</v>
      </c>
    </row>
    <row r="246" spans="1:4" x14ac:dyDescent="0.25">
      <c r="A246" s="12" t="s">
        <v>239</v>
      </c>
      <c r="B246" s="12" t="str">
        <f t="shared" si="10"/>
        <v>Sandra</v>
      </c>
      <c r="C246" s="12" t="str">
        <f t="shared" si="11"/>
        <v>Phillips</v>
      </c>
      <c r="D246" s="12" t="str">
        <f t="shared" si="12"/>
        <v>SP</v>
      </c>
    </row>
    <row r="247" spans="1:4" x14ac:dyDescent="0.25">
      <c r="A247" s="12" t="s">
        <v>159</v>
      </c>
      <c r="B247" s="12" t="str">
        <f t="shared" si="10"/>
        <v>Sarah</v>
      </c>
      <c r="C247" s="12" t="str">
        <f t="shared" si="11"/>
        <v>Davis</v>
      </c>
      <c r="D247" s="12" t="str">
        <f t="shared" si="12"/>
        <v>SD</v>
      </c>
    </row>
    <row r="248" spans="1:4" x14ac:dyDescent="0.25">
      <c r="A248" s="12" t="s">
        <v>155</v>
      </c>
      <c r="B248" s="12" t="str">
        <f t="shared" si="10"/>
        <v>Sharon</v>
      </c>
      <c r="C248" s="12" t="str">
        <f t="shared" si="11"/>
        <v>Butler</v>
      </c>
      <c r="D248" s="12" t="str">
        <f t="shared" si="12"/>
        <v>SB</v>
      </c>
    </row>
    <row r="249" spans="1:4" x14ac:dyDescent="0.25">
      <c r="A249" s="12" t="s">
        <v>143</v>
      </c>
      <c r="B249" s="12" t="str">
        <f t="shared" si="10"/>
        <v>Steven</v>
      </c>
      <c r="C249" s="12" t="str">
        <f t="shared" si="11"/>
        <v>Turner</v>
      </c>
      <c r="D249" s="12" t="str">
        <f t="shared" si="12"/>
        <v>ST</v>
      </c>
    </row>
    <row r="250" spans="1:4" x14ac:dyDescent="0.25">
      <c r="A250" s="12" t="s">
        <v>73</v>
      </c>
      <c r="B250" s="12" t="str">
        <f t="shared" si="10"/>
        <v>Susan</v>
      </c>
      <c r="C250" s="12" t="str">
        <f t="shared" si="11"/>
        <v>Green</v>
      </c>
      <c r="D250" s="12" t="str">
        <f t="shared" si="12"/>
        <v>SG</v>
      </c>
    </row>
    <row r="251" spans="1:4" x14ac:dyDescent="0.25">
      <c r="A251" s="12" t="s">
        <v>98</v>
      </c>
      <c r="B251" s="12" t="str">
        <f t="shared" si="10"/>
        <v>Virginia</v>
      </c>
      <c r="C251" s="12" t="str">
        <f t="shared" si="11"/>
        <v>Sanders</v>
      </c>
      <c r="D251" s="12" t="str">
        <f t="shared" si="12"/>
        <v>VS</v>
      </c>
    </row>
    <row r="252" spans="1:4" x14ac:dyDescent="0.25">
      <c r="A252" s="12" t="s">
        <v>257</v>
      </c>
      <c r="B252" s="12" t="str">
        <f t="shared" si="10"/>
        <v>William</v>
      </c>
      <c r="C252" s="12" t="str">
        <f t="shared" si="11"/>
        <v>White</v>
      </c>
      <c r="D252" s="12" t="str">
        <f t="shared" si="12"/>
        <v>WW</v>
      </c>
    </row>
  </sheetData>
  <scenarios current="0" show="0">
    <scenario name="Best Case" locked="1" count="1" user="USER" comment="Best Case">
      <inputCells r="B80" val="2" numFmtId="9"/>
    </scenario>
  </scenarios>
  <mergeCells count="10">
    <mergeCell ref="A1:H1"/>
    <mergeCell ref="A84:D84"/>
    <mergeCell ref="A78:D78"/>
    <mergeCell ref="A145:G145"/>
    <mergeCell ref="A201:D201"/>
    <mergeCell ref="A147:D147"/>
    <mergeCell ref="A92:G92"/>
    <mergeCell ref="A73:F73"/>
    <mergeCell ref="J3:N3"/>
    <mergeCell ref="J14:N14"/>
  </mergeCells>
  <conditionalFormatting sqref="B13:B17">
    <cfRule type="dataBar" priority="1">
      <dataBar>
        <cfvo type="num" val="0"/>
        <cfvo type="max"/>
        <color rgb="FF70AD47"/>
      </dataBar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9:D198">
    <cfRule type="cellIs" dxfId="0" priority="2" operator="equal">
      <formula>"Match"</formula>
    </cfRule>
  </conditionalFormatting>
  <conditionalFormatting sqref="F22:F71">
    <cfRule type="dataBar" priority="3">
      <dataBar>
        <cfvo type="num" val="0"/>
        <cfvo type="max"/>
        <color rgb="FF63C384"/>
      </dataBar>
    </cfRule>
  </conditionalFormatting>
  <pageMargins left="0.25" right="0.2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6"/>
  <sheetViews>
    <sheetView showGridLines="0" workbookViewId="0">
      <selection activeCell="E17" sqref="E17"/>
    </sheetView>
  </sheetViews>
  <sheetFormatPr defaultRowHeight="15" x14ac:dyDescent="0.25"/>
  <cols>
    <col min="1" max="8" width="22" style="16" customWidth="1"/>
    <col min="10" max="10" width="28" style="16" customWidth="1"/>
    <col min="11" max="11" width="20" style="16" customWidth="1"/>
    <col min="12" max="14" width="18" style="16" customWidth="1"/>
  </cols>
  <sheetData>
    <row r="1" spans="1:14" ht="19.5" customHeight="1" x14ac:dyDescent="0.3">
      <c r="A1" s="40" t="s">
        <v>456</v>
      </c>
      <c r="B1" s="37"/>
      <c r="C1" s="37"/>
      <c r="D1" s="37"/>
      <c r="E1" s="37"/>
      <c r="F1" s="37"/>
      <c r="G1" s="37"/>
      <c r="H1" s="37"/>
    </row>
    <row r="3" spans="1:14" ht="23.1" customHeight="1" x14ac:dyDescent="0.25">
      <c r="A3" s="3" t="s">
        <v>457</v>
      </c>
      <c r="B3" s="25" t="s">
        <v>414</v>
      </c>
      <c r="D3" s="25" t="s">
        <v>6</v>
      </c>
      <c r="E3" s="3" t="s">
        <v>414</v>
      </c>
      <c r="G3" s="3" t="s">
        <v>424</v>
      </c>
      <c r="H3" s="3" t="s">
        <v>409</v>
      </c>
      <c r="I3" s="16"/>
      <c r="J3"/>
      <c r="K3"/>
      <c r="L3"/>
      <c r="M3"/>
      <c r="N3"/>
    </row>
    <row r="4" spans="1:14" x14ac:dyDescent="0.25">
      <c r="A4" s="26">
        <v>45383</v>
      </c>
      <c r="B4" s="17">
        <f>SUMIFS('Raw Data'!$N$2:$N$251,'Raw Data'!$B$2:$B$251,"&gt;="&amp;A4,'Raw Data'!$B$2:$B$251,"&lt;"&amp;EOMONTH(A4,0)+1)</f>
        <v>20919.330000000002</v>
      </c>
      <c r="D4" s="17" t="s">
        <v>37</v>
      </c>
      <c r="E4" s="17">
        <f>SUMIF('Raw Data'!$G$2:$G$251,D4,'Raw Data'!$N$2:$N$251)</f>
        <v>8338.7399999999961</v>
      </c>
      <c r="G4" t="s">
        <v>36</v>
      </c>
      <c r="H4">
        <f>SUMIF('Raw Data'!$F$2:$F$251,G4,'Raw Data'!$H$2:$H$251)</f>
        <v>87</v>
      </c>
      <c r="I4" s="16"/>
      <c r="J4"/>
      <c r="K4"/>
      <c r="L4"/>
      <c r="M4"/>
      <c r="N4"/>
    </row>
    <row r="5" spans="1:14" x14ac:dyDescent="0.25">
      <c r="A5" s="26">
        <v>45413</v>
      </c>
      <c r="B5" s="17">
        <f>SUMIFS('Raw Data'!$N$2:$N$251,'Raw Data'!$B$2:$B$251,"&gt;="&amp;A5,'Raw Data'!$B$2:$B$251,"&lt;"&amp;EOMONTH(A5,0)+1)</f>
        <v>17039.349999999999</v>
      </c>
      <c r="D5" s="17" t="s">
        <v>23</v>
      </c>
      <c r="E5" s="17">
        <f>SUMIF('Raw Data'!$G$2:$G$251,D5,'Raw Data'!$N$2:$N$251)</f>
        <v>171756.05000000013</v>
      </c>
      <c r="G5" t="s">
        <v>49</v>
      </c>
      <c r="H5">
        <f>SUMIF('Raw Data'!$F$2:$F$251,G5,'Raw Data'!$H$2:$H$251)</f>
        <v>102</v>
      </c>
      <c r="I5" s="16"/>
      <c r="J5"/>
      <c r="K5"/>
      <c r="L5"/>
      <c r="M5"/>
      <c r="N5"/>
    </row>
    <row r="6" spans="1:14" x14ac:dyDescent="0.25">
      <c r="A6" s="26">
        <v>45444</v>
      </c>
      <c r="B6" s="17">
        <f>SUMIFS('Raw Data'!$N$2:$N$251,'Raw Data'!$B$2:$B$251,"&gt;="&amp;A6,'Raw Data'!$B$2:$B$251,"&lt;"&amp;EOMONTH(A6,0)+1)</f>
        <v>19299.45</v>
      </c>
      <c r="D6" s="17" t="s">
        <v>50</v>
      </c>
      <c r="E6" s="17">
        <f>SUMIF('Raw Data'!$G$2:$G$251,D6,'Raw Data'!$N$2:$N$251)</f>
        <v>49097.680000000015</v>
      </c>
      <c r="G6" t="s">
        <v>119</v>
      </c>
      <c r="H6">
        <f>SUMIF('Raw Data'!$F$2:$F$251,G6,'Raw Data'!$H$2:$H$251)</f>
        <v>39</v>
      </c>
      <c r="I6" s="16"/>
      <c r="J6"/>
      <c r="K6"/>
      <c r="L6"/>
      <c r="M6"/>
      <c r="N6"/>
    </row>
    <row r="7" spans="1:14" x14ac:dyDescent="0.25">
      <c r="A7" s="26">
        <v>45474</v>
      </c>
      <c r="B7" s="17">
        <f>SUMIFS('Raw Data'!$N$2:$N$251,'Raw Data'!$B$2:$B$251,"&gt;="&amp;A7,'Raw Data'!$B$2:$B$251,"&lt;"&amp;EOMONTH(A7,0)+1)</f>
        <v>18479.399999999994</v>
      </c>
      <c r="D7" s="17"/>
      <c r="G7" t="s">
        <v>110</v>
      </c>
      <c r="H7">
        <f>SUMIF('Raw Data'!$F$2:$F$251,G7,'Raw Data'!$H$2:$H$251)</f>
        <v>78</v>
      </c>
      <c r="I7" s="16"/>
      <c r="J7"/>
      <c r="K7"/>
      <c r="L7"/>
      <c r="M7"/>
      <c r="N7"/>
    </row>
    <row r="8" spans="1:14" x14ac:dyDescent="0.25">
      <c r="A8" s="26">
        <v>45505</v>
      </c>
      <c r="B8" s="17">
        <f>SUMIFS('Raw Data'!$N$2:$N$251,'Raw Data'!$B$2:$B$251,"&gt;="&amp;A8,'Raw Data'!$B$2:$B$251,"&lt;"&amp;EOMONTH(A8,0)+1)</f>
        <v>15759.429999999997</v>
      </c>
      <c r="D8" s="17"/>
      <c r="G8" t="s">
        <v>57</v>
      </c>
      <c r="H8">
        <f>SUMIF('Raw Data'!$F$2:$F$251,G8,'Raw Data'!$H$2:$H$251)</f>
        <v>47</v>
      </c>
      <c r="I8" s="16"/>
      <c r="J8"/>
      <c r="K8"/>
      <c r="L8"/>
      <c r="M8"/>
      <c r="N8"/>
    </row>
    <row r="9" spans="1:14" x14ac:dyDescent="0.25">
      <c r="A9" s="26">
        <v>45536</v>
      </c>
      <c r="B9" s="17">
        <f>SUMIFS('Raw Data'!$N$2:$N$251,'Raw Data'!$B$2:$B$251,"&gt;="&amp;A9,'Raw Data'!$B$2:$B$251,"&lt;"&amp;EOMONTH(A9,0)+1)</f>
        <v>12989.509999999997</v>
      </c>
      <c r="D9" s="17"/>
      <c r="G9" t="s">
        <v>122</v>
      </c>
      <c r="H9">
        <f>SUMIF('Raw Data'!$F$2:$F$251,G9,'Raw Data'!$H$2:$H$251)</f>
        <v>89</v>
      </c>
      <c r="I9" s="16"/>
      <c r="J9"/>
      <c r="K9"/>
      <c r="L9"/>
      <c r="M9"/>
      <c r="N9"/>
    </row>
    <row r="10" spans="1:14" x14ac:dyDescent="0.25">
      <c r="A10" s="26">
        <v>45566</v>
      </c>
      <c r="B10" s="17">
        <f>SUMIFS('Raw Data'!$N$2:$N$251,'Raw Data'!$B$2:$B$251,"&gt;="&amp;A10,'Raw Data'!$B$2:$B$251,"&lt;"&amp;EOMONTH(A10,0)+1)</f>
        <v>20609.52</v>
      </c>
      <c r="D10" s="17"/>
      <c r="G10" t="s">
        <v>66</v>
      </c>
      <c r="H10">
        <f>SUMIF('Raw Data'!$F$2:$F$251,G10,'Raw Data'!$H$2:$H$251)</f>
        <v>75</v>
      </c>
      <c r="I10" s="16"/>
      <c r="J10"/>
      <c r="K10"/>
      <c r="L10"/>
      <c r="M10"/>
      <c r="N10"/>
    </row>
    <row r="11" spans="1:14" x14ac:dyDescent="0.25">
      <c r="A11" s="26">
        <v>45597</v>
      </c>
      <c r="B11" s="17">
        <f>SUMIFS('Raw Data'!$N$2:$N$251,'Raw Data'!$B$2:$B$251,"&gt;="&amp;A11,'Raw Data'!$B$2:$B$251,"&lt;"&amp;EOMONTH(A11,0)+1)</f>
        <v>12309.439999999999</v>
      </c>
      <c r="D11" s="17"/>
      <c r="G11" t="s">
        <v>22</v>
      </c>
      <c r="H11">
        <f>SUMIF('Raw Data'!$F$2:$F$251,G11,'Raw Data'!$H$2:$H$251)</f>
        <v>88</v>
      </c>
    </row>
    <row r="12" spans="1:14" x14ac:dyDescent="0.25">
      <c r="A12" s="26">
        <v>45627</v>
      </c>
      <c r="B12" s="17">
        <f>SUMIFS('Raw Data'!$N$2:$N$251,'Raw Data'!$B$2:$B$251,"&gt;="&amp;A12,'Raw Data'!$B$2:$B$251,"&lt;"&amp;EOMONTH(A12,0)+1)</f>
        <v>23039.3</v>
      </c>
      <c r="D12" s="17"/>
      <c r="G12" t="s">
        <v>131</v>
      </c>
      <c r="H12">
        <f>SUMIF('Raw Data'!$F$2:$F$251,G12,'Raw Data'!$H$2:$H$251)</f>
        <v>52</v>
      </c>
    </row>
    <row r="13" spans="1:14" x14ac:dyDescent="0.25">
      <c r="A13" s="26">
        <v>45658</v>
      </c>
      <c r="B13" s="17">
        <f>SUMIFS('Raw Data'!$N$2:$N$251,'Raw Data'!$B$2:$B$251,"&gt;="&amp;A13,'Raw Data'!$B$2:$B$251,"&lt;"&amp;EOMONTH(A13,0)+1)</f>
        <v>25799.15</v>
      </c>
      <c r="D13" s="17"/>
      <c r="G13" t="s">
        <v>85</v>
      </c>
      <c r="H13">
        <f>SUMIF('Raw Data'!$F$2:$F$251,G13,'Raw Data'!$H$2:$H$251)</f>
        <v>96</v>
      </c>
    </row>
    <row r="14" spans="1:14" x14ac:dyDescent="0.25">
      <c r="A14" s="26">
        <v>45689</v>
      </c>
      <c r="B14" s="17">
        <f>SUMIFS('Raw Data'!$N$2:$N$251,'Raw Data'!$B$2:$B$251,"&gt;="&amp;A14,'Raw Data'!$B$2:$B$251,"&lt;"&amp;EOMONTH(A14,0)+1)</f>
        <v>16069.379999999997</v>
      </c>
      <c r="D14" s="17"/>
    </row>
    <row r="15" spans="1:14" x14ac:dyDescent="0.25">
      <c r="A15" s="26">
        <v>45717</v>
      </c>
      <c r="B15" s="17">
        <f>SUMIFS('Raw Data'!$N$2:$N$251,'Raw Data'!$B$2:$B$251,"&gt;="&amp;A15,'Raw Data'!$B$2:$B$251,"&lt;"&amp;EOMONTH(A15,0)+1)</f>
        <v>19899.379999999997</v>
      </c>
      <c r="D15" s="17"/>
    </row>
    <row r="16" spans="1:14" x14ac:dyDescent="0.25">
      <c r="A16" s="26">
        <v>45748</v>
      </c>
      <c r="B16" s="17">
        <f>SUMIFS('Raw Data'!$N$2:$N$251,'Raw Data'!$B$2:$B$251,"&gt;="&amp;A16,'Raw Data'!$B$2:$B$251,"&lt;"&amp;EOMONTH(A16,0)+1)</f>
        <v>6979.829999999999</v>
      </c>
      <c r="D16" s="17"/>
    </row>
  </sheetData>
  <mergeCells count="1">
    <mergeCell ref="A1:H1"/>
  </mergeCells>
  <pageMargins left="0.25" right="0.2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Raw Data</vt:lpstr>
      <vt:lpstr>Analysis</vt:lpstr>
      <vt:lpstr>Visualizations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2026-10-15T08:10:13Z</dcterms:created>
  <dcterms:modified xsi:type="dcterms:W3CDTF">2026-10-15T12:05:58Z</dcterms:modified>
</cp:coreProperties>
</file>